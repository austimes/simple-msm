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Emissions_SenseCheck" sheetId="1" state="visible" r:id="rId1"/>
    <sheet xmlns:r="http://schemas.openxmlformats.org/officeDocument/2006/relationships" name="Calibration_Basis" sheetId="2" state="visible" r:id="rId2"/>
    <sheet xmlns:r="http://schemas.openxmlformats.org/officeDocument/2006/relationships" name="State_Assumptions" sheetId="3" state="visible" r:id="rId3"/>
    <sheet xmlns:r="http://schemas.openxmlformats.org/officeDocument/2006/relationships" name="Total_Demand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7030A0"/>
      <sz val="11"/>
    </font>
    <font>
      <b val="1"/>
      <color rgb="00FFFFFF"/>
      <sz val="10"/>
    </font>
    <font>
      <color rgb="00000000"/>
      <sz val="9"/>
    </font>
    <font>
      <b val="1"/>
      <color rgb="00375623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1F3864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3" borderId="1" applyAlignment="1" pivotButton="0" quotePrefix="0" xfId="0">
      <alignment horizontal="center" wrapText="1"/>
    </xf>
    <xf numFmtId="0" fontId="7" fillId="0" borderId="1" applyAlignment="1" pivotButton="0" quotePrefix="0" xfId="0">
      <alignment horizontal="right"/>
    </xf>
    <xf numFmtId="0" fontId="4" fillId="4" borderId="1" pivotButton="0" quotePrefix="0" xfId="0"/>
    <xf numFmtId="0" fontId="0" fillId="4" borderId="1" pivotButton="0" quotePrefix="0" xfId="0"/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Oil &amp; Gas Extraction — Fuel by Type (PJ, Conventional State)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'Energy_Emissions_SenseCheck'!C12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'Energy_Emissions_SenseCheck'!$A$13:$A$18</f>
            </numRef>
          </cat>
          <val>
            <numRef>
              <f>'Energy_Emissions_SenseCheck'!$C$13:$C$18</f>
            </numRef>
          </val>
        </ser>
        <ser>
          <idx val="1"/>
          <order val="1"/>
          <tx>
            <strRef>
              <f>'Energy_Emissions_SenseCheck'!E12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'Energy_Emissions_SenseCheck'!$A$13:$A$18</f>
            </numRef>
          </cat>
          <val>
            <numRef>
              <f>'Energy_Emissions_SenseCheck'!$E$13:$E$18</f>
            </numRef>
          </val>
        </ser>
        <ser>
          <idx val="2"/>
          <order val="2"/>
          <tx>
            <strRef>
              <f>'Energy_Emissions_SenseCheck'!G12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'Energy_Emissions_SenseCheck'!$A$13:$A$18</f>
            </numRef>
          </cat>
          <val>
            <numRef>
              <f>'Energy_Emissions_SenseCheck'!$G$13:$G$18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Energy (PJ)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Oil &amp; Gas Extraction — Emissions by Type (MtCO2e, Conventional State)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'Energy_Emissions_SenseCheck'!C39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'Energy_Emissions_SenseCheck'!$A$40:$A$45</f>
            </numRef>
          </cat>
          <val>
            <numRef>
              <f>'Energy_Emissions_SenseCheck'!$C$40:$C$45</f>
            </numRef>
          </val>
        </ser>
        <ser>
          <idx val="1"/>
          <order val="1"/>
          <tx>
            <strRef>
              <f>'Energy_Emissions_SenseCheck'!E39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'Energy_Emissions_SenseCheck'!$A$40:$A$45</f>
            </numRef>
          </cat>
          <val>
            <numRef>
              <f>'Energy_Emissions_SenseCheck'!$E$40:$E$45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Emissions (MtCO2e)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48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I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4" customWidth="1" min="4" max="4"/>
    <col width="60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>
      <c r="A1" s="1" t="inlineStr">
        <is>
          <t>Oil &amp; Gas Extraction — Energy &amp; Emissions Sense-Check (Conventional State, 2025–2050)</t>
        </is>
      </c>
    </row>
    <row r="2">
      <c r="A2" s="2" t="inlineStr">
        <is>
          <t>Generated: 2026-05-01  |  Calibration: AES 2023-24 Table F + NGGI 2023-24 Cat 1A2 &amp; 1B2b</t>
        </is>
      </c>
    </row>
    <row r="4">
      <c r="A4" s="3" t="inlineStr">
        <is>
          <t>CALIBRATION REVISION SUMMARY — Previous model (gas_mining) vs Revised model (oil_and_gas_extraction)</t>
        </is>
      </c>
    </row>
    <row r="5" ht="28" customHeight="1">
      <c r="A5" s="4" t="inlineStr">
        <is>
          <t>Issue</t>
        </is>
      </c>
      <c r="B5" s="4" t="inlineStr">
        <is>
          <t>Previous value</t>
        </is>
      </c>
      <c r="C5" s="4" t="inlineStr">
        <is>
          <t>Revised value</t>
        </is>
      </c>
      <c r="D5" s="4" t="inlineStr">
        <is>
          <t>Source of truth</t>
        </is>
      </c>
      <c r="E5" s="4" t="inlineStr">
        <is>
          <t>Root cause</t>
        </is>
      </c>
    </row>
    <row r="6" ht="52" customHeight="1">
      <c r="A6" s="5" t="inlineStr">
        <is>
          <t>Final energy (PJ)</t>
        </is>
      </c>
      <c r="B6" s="5" t="inlineStr">
        <is>
          <t>595 PJ</t>
        </is>
      </c>
      <c r="C6" s="5" t="inlineStr">
        <is>
          <t>471 PJ</t>
        </is>
      </c>
      <c r="D6" s="5" t="inlineStr">
        <is>
          <t>AES 2023-24 Table F</t>
        </is>
      </c>
      <c r="E6" s="5" t="inlineStr">
        <is>
          <t>LNG liquefaction own-use (~316 PJ) incorrectly included. AES classifies liquefaction as 'energy transformation', not final energy.</t>
        </is>
      </c>
    </row>
    <row r="7" ht="52" customHeight="1">
      <c r="A7" s="5" t="inlineStr">
        <is>
          <t>Energy CO2e (MtCO2e)</t>
        </is>
      </c>
      <c r="B7" s="5" t="inlineStr">
        <is>
          <t>29.5 MtCO2e</t>
        </is>
      </c>
      <c r="C7" s="5" t="inlineStr">
        <is>
          <t>22.0 MtCO2e</t>
        </is>
      </c>
      <c r="D7" s="5" t="inlineStr">
        <is>
          <t>NGGI 2023-24 Cat 1A2</t>
        </is>
      </c>
      <c r="E7" s="5" t="inlineStr">
        <is>
          <t>(a) Wrong gas coeff (82,000 → 62,300 GJ/PJ). (b) AES-derived combustion (23.7 MtCO2e) is 1.7 MtCO2e above NGGI 1A2 because routine flaring/venting is classified as fugitive (1B2b), not energy (1A2).</t>
        </is>
      </c>
    </row>
    <row r="8" ht="52" customHeight="1">
      <c r="A8" s="5" t="inlineStr">
        <is>
          <t>Fugitive CO2e (MtCO2e)</t>
        </is>
      </c>
      <c r="B8" s="5" t="inlineStr">
        <is>
          <t>20.0 MtCO2e</t>
        </is>
      </c>
      <c r="C8" s="5" t="inlineStr">
        <is>
          <t>22.0 MtCO2e</t>
        </is>
      </c>
      <c r="D8" s="5" t="inlineStr">
        <is>
          <t>NGGI 2023-24 Cat 1B2b</t>
        </is>
      </c>
      <c r="E8" s="5" t="inlineStr">
        <is>
          <t>Previous model used NGGI 2022-23 (~20 MtCO2e). NGGI 2023-24 shows 22 MtCO2e, reflecting improved NGER direct-measurement methodology and real LNG fugitive growth.</t>
        </is>
      </c>
    </row>
    <row r="11">
      <c r="A11" s="6" t="inlineStr">
        <is>
          <t>SECTION 1 — FUEL CONSUMPTION (conventional state, GJ/PJ_gas coefficient × total production PJ)</t>
        </is>
      </c>
    </row>
    <row r="12" ht="30" customHeight="1">
      <c r="A12" s="7" t="inlineStr">
        <is>
          <t>Year</t>
        </is>
      </c>
      <c r="B12" s="7" t="inlineStr">
        <is>
          <t>Gas (GJ/PJ)</t>
        </is>
      </c>
      <c r="C12" s="7" t="inlineStr">
        <is>
          <t>Gas total (PJ)</t>
        </is>
      </c>
      <c r="D12" s="7" t="inlineStr">
        <is>
          <t>Diesel (GJ/PJ)</t>
        </is>
      </c>
      <c r="E12" s="7" t="inlineStr">
        <is>
          <t>Diesel total (PJ)</t>
        </is>
      </c>
      <c r="F12" s="7" t="inlineStr">
        <is>
          <t>Electricity (GJ/PJ)</t>
        </is>
      </c>
      <c r="G12" s="7" t="inlineStr">
        <is>
          <t>Electricity total (PJ)</t>
        </is>
      </c>
      <c r="H12" s="7" t="inlineStr">
        <is>
          <t>SEI (GJ/PJ)</t>
        </is>
      </c>
      <c r="I12" s="7" t="inlineStr">
        <is>
          <t>Total energy (PJ)</t>
        </is>
      </c>
    </row>
    <row r="13">
      <c r="A13" s="8" t="n">
        <v>2025</v>
      </c>
      <c r="B13" s="8" t="n">
        <v>62300</v>
      </c>
      <c r="C13" s="8" t="n">
        <v>380</v>
      </c>
      <c r="D13" s="8" t="n">
        <v>9800</v>
      </c>
      <c r="E13" s="8" t="n">
        <v>59.8</v>
      </c>
      <c r="F13" s="8" t="n">
        <v>5100</v>
      </c>
      <c r="G13" s="8" t="n">
        <v>31.1</v>
      </c>
      <c r="H13" s="8" t="n">
        <v>77200</v>
      </c>
      <c r="I13" s="8" t="n">
        <v>470.9</v>
      </c>
    </row>
    <row r="14">
      <c r="A14" s="8" t="n">
        <v>2030</v>
      </c>
      <c r="B14" s="8" t="n">
        <v>60700</v>
      </c>
      <c r="C14" s="8" t="n">
        <v>352</v>
      </c>
      <c r="D14" s="8" t="n">
        <v>9600</v>
      </c>
      <c r="E14" s="8" t="n">
        <v>55.7</v>
      </c>
      <c r="F14" s="8" t="n">
        <v>5200</v>
      </c>
      <c r="G14" s="8" t="n">
        <v>30.2</v>
      </c>
      <c r="H14" s="8" t="n">
        <v>75500</v>
      </c>
      <c r="I14" s="8" t="n">
        <v>437.8</v>
      </c>
    </row>
    <row r="15">
      <c r="A15" s="8" t="n">
        <v>2035</v>
      </c>
      <c r="B15" s="8" t="n">
        <v>59200</v>
      </c>
      <c r="C15" s="8" t="n">
        <v>326.6</v>
      </c>
      <c r="D15" s="8" t="n">
        <v>9400</v>
      </c>
      <c r="E15" s="8" t="n">
        <v>51.9</v>
      </c>
      <c r="F15" s="8" t="n">
        <v>5300</v>
      </c>
      <c r="G15" s="8" t="n">
        <v>29.2</v>
      </c>
      <c r="H15" s="8" t="n">
        <v>73900</v>
      </c>
      <c r="I15" s="8" t="n">
        <v>407.7</v>
      </c>
    </row>
    <row r="16">
      <c r="A16" s="8" t="n">
        <v>2040</v>
      </c>
      <c r="B16" s="8" t="n">
        <v>57700</v>
      </c>
      <c r="C16" s="8" t="n">
        <v>302.8</v>
      </c>
      <c r="D16" s="8" t="n">
        <v>9200</v>
      </c>
      <c r="E16" s="8" t="n">
        <v>48.3</v>
      </c>
      <c r="F16" s="8" t="n">
        <v>5400</v>
      </c>
      <c r="G16" s="8" t="n">
        <v>28.3</v>
      </c>
      <c r="H16" s="8" t="n">
        <v>72300</v>
      </c>
      <c r="I16" s="8" t="n">
        <v>379.4</v>
      </c>
    </row>
    <row r="17">
      <c r="A17" s="8" t="n">
        <v>2045</v>
      </c>
      <c r="B17" s="8" t="n">
        <v>56500</v>
      </c>
      <c r="C17" s="8" t="n">
        <v>281.9</v>
      </c>
      <c r="D17" s="8" t="n">
        <v>9000</v>
      </c>
      <c r="E17" s="8" t="n">
        <v>44.9</v>
      </c>
      <c r="F17" s="8" t="n">
        <v>5500</v>
      </c>
      <c r="G17" s="8" t="n">
        <v>27.4</v>
      </c>
      <c r="H17" s="8" t="n">
        <v>71000</v>
      </c>
      <c r="I17" s="8" t="n">
        <v>354.3</v>
      </c>
    </row>
    <row r="18">
      <c r="A18" s="8" t="n">
        <v>2050</v>
      </c>
      <c r="B18" s="8" t="n">
        <v>55300</v>
      </c>
      <c r="C18" s="8" t="n">
        <v>262.4</v>
      </c>
      <c r="D18" s="8" t="n">
        <v>8800</v>
      </c>
      <c r="E18" s="8" t="n">
        <v>41.8</v>
      </c>
      <c r="F18" s="8" t="n">
        <v>5500</v>
      </c>
      <c r="G18" s="8" t="n">
        <v>26.1</v>
      </c>
      <c r="H18" s="8" t="n">
        <v>69600</v>
      </c>
      <c r="I18" s="8" t="n">
        <v>330.3</v>
      </c>
    </row>
    <row r="19">
      <c r="A19" s="9" t="inlineStr">
        <is>
          <t>AES 2023-24 reference: 471 PJ</t>
        </is>
      </c>
      <c r="B19" s="10" t="n"/>
      <c r="C19" s="10" t="n"/>
      <c r="D19" s="10" t="n"/>
      <c r="E19" s="10" t="n"/>
      <c r="F19" s="10" t="n"/>
      <c r="G19" s="10" t="n"/>
      <c r="H19" s="9" t="inlineStr">
        <is>
          <t>Coverage: 100.0%</t>
        </is>
      </c>
      <c r="I19" s="9" t="inlineStr">
        <is>
          <t>~471 PJ</t>
        </is>
      </c>
    </row>
    <row r="38">
      <c r="A38" s="6" t="inlineStr">
        <is>
          <t>SECTION 2 — EMISSIONS (conventional state, tCO2e/PJ_gas × total production PJ)</t>
        </is>
      </c>
    </row>
    <row r="39" ht="30" customHeight="1">
      <c r="A39" s="7" t="inlineStr">
        <is>
          <t>Year</t>
        </is>
      </c>
      <c r="B39" s="7" t="inlineStr">
        <is>
          <t>Energy CO2e (tCO2e/PJ)</t>
        </is>
      </c>
      <c r="C39" s="7" t="inlineStr">
        <is>
          <t>Energy total (MtCO2e)</t>
        </is>
      </c>
      <c r="D39" s="7" t="inlineStr">
        <is>
          <t>Fugitive CO2e (tCO2e/PJ)</t>
        </is>
      </c>
      <c r="E39" s="7" t="inlineStr">
        <is>
          <t>Fugitive total (MtCO2e)</t>
        </is>
      </c>
      <c r="F39" s="7" t="inlineStr">
        <is>
          <t>Total (MtCO2e)</t>
        </is>
      </c>
    </row>
    <row r="40">
      <c r="A40" s="8" t="n">
        <v>2025</v>
      </c>
      <c r="B40" s="8" t="n">
        <v>3610</v>
      </c>
      <c r="C40" s="8" t="n">
        <v>22.02</v>
      </c>
      <c r="D40" s="8" t="n">
        <v>3610</v>
      </c>
      <c r="E40" s="8" t="n">
        <v>22.02</v>
      </c>
      <c r="F40" s="8" t="n">
        <v>44.04</v>
      </c>
    </row>
    <row r="41">
      <c r="A41" s="8" t="n">
        <v>2030</v>
      </c>
      <c r="B41" s="8" t="n">
        <v>3520</v>
      </c>
      <c r="C41" s="8" t="n">
        <v>20.41</v>
      </c>
      <c r="D41" s="8" t="n">
        <v>3300</v>
      </c>
      <c r="E41" s="8" t="n">
        <v>19.14</v>
      </c>
      <c r="F41" s="8" t="n">
        <v>39.55</v>
      </c>
    </row>
    <row r="42">
      <c r="A42" s="8" t="n">
        <v>2035</v>
      </c>
      <c r="B42" s="8" t="n">
        <v>3440</v>
      </c>
      <c r="C42" s="8" t="n">
        <v>18.98</v>
      </c>
      <c r="D42" s="8" t="n">
        <v>3000</v>
      </c>
      <c r="E42" s="8" t="n">
        <v>16.55</v>
      </c>
      <c r="F42" s="8" t="n">
        <v>35.53</v>
      </c>
    </row>
    <row r="43">
      <c r="A43" s="8" t="n">
        <v>2040</v>
      </c>
      <c r="B43" s="8" t="n">
        <v>3350</v>
      </c>
      <c r="C43" s="8" t="n">
        <v>17.58</v>
      </c>
      <c r="D43" s="8" t="n">
        <v>2700</v>
      </c>
      <c r="E43" s="8" t="n">
        <v>14.17</v>
      </c>
      <c r="F43" s="8" t="n">
        <v>31.75</v>
      </c>
    </row>
    <row r="44">
      <c r="A44" s="8" t="n">
        <v>2045</v>
      </c>
      <c r="B44" s="8" t="n">
        <v>3280</v>
      </c>
      <c r="C44" s="8" t="n">
        <v>16.37</v>
      </c>
      <c r="D44" s="8" t="n">
        <v>2450</v>
      </c>
      <c r="E44" s="8" t="n">
        <v>12.23</v>
      </c>
      <c r="F44" s="8" t="n">
        <v>28.6</v>
      </c>
    </row>
    <row r="45">
      <c r="A45" s="8" t="n">
        <v>2050</v>
      </c>
      <c r="B45" s="8" t="n">
        <v>3210</v>
      </c>
      <c r="C45" s="8" t="n">
        <v>15.23</v>
      </c>
      <c r="D45" s="8" t="n">
        <v>2200</v>
      </c>
      <c r="E45" s="8" t="n">
        <v>10.44</v>
      </c>
      <c r="F45" s="8" t="n">
        <v>25.67</v>
      </c>
    </row>
    <row r="46">
      <c r="A46" s="9" t="inlineStr">
        <is>
          <t>NGGI 2023-24 reference</t>
        </is>
      </c>
      <c r="B46" s="10" t="n"/>
      <c r="C46" s="9" t="inlineStr">
        <is>
          <t>~22 MtCO2e (Cat 1A2)</t>
        </is>
      </c>
      <c r="D46" s="10" t="n"/>
      <c r="E46" s="9" t="inlineStr">
        <is>
          <t>~22 MtCO2e (Cat 1B2b)</t>
        </is>
      </c>
      <c r="F46" s="9" t="inlineStr">
        <is>
          <t>~44 MtCO2e</t>
        </is>
      </c>
    </row>
    <row r="47">
      <c r="A47" s="2" t="inlineStr">
        <is>
          <t>Note: AES-derived combustion CO2e = 23.7 MtCO2e (62,300×51.4 + 9,800×69.9)/1,000 × 6,100. Excess 1.7 MtCO2e vs NGGI 1A2 = routine flaring/venting classified as fugitive (Cat 1B2b).</t>
        </is>
      </c>
    </row>
  </sheetData>
  <mergeCells count="2">
    <mergeCell ref="A1:I1"/>
    <mergeCell ref="A47:I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34" customWidth="1" min="4" max="4"/>
    <col width="60" customWidth="1" min="5" max="5"/>
  </cols>
  <sheetData>
    <row r="1">
      <c r="A1" s="1" t="inlineStr">
        <is>
          <t>Oil &amp; Gas Extraction — Calibration Basis and Parameters</t>
        </is>
      </c>
    </row>
    <row r="3">
      <c r="A3" s="7" t="inlineStr">
        <is>
          <t>Parameter</t>
        </is>
      </c>
      <c r="B3" s="7" t="inlineStr">
        <is>
          <t>Value</t>
        </is>
      </c>
      <c r="C3" s="7" t="inlineStr">
        <is>
          <t>Unit</t>
        </is>
      </c>
      <c r="D3" s="7" t="inlineStr">
        <is>
          <t>Source</t>
        </is>
      </c>
      <c r="E3" s="7" t="inlineStr">
        <is>
          <t>Notes</t>
        </is>
      </c>
    </row>
    <row r="4" ht="36" customHeight="1">
      <c r="A4" s="5" t="inlineStr">
        <is>
          <t>Total gas production (anchor)</t>
        </is>
      </c>
      <c r="B4" s="5" t="n">
        <v>6100</v>
      </c>
      <c r="C4" s="5" t="inlineStr">
        <is>
          <t>PJ_gas</t>
        </is>
      </c>
      <c r="D4" s="5" t="inlineStr">
        <is>
          <t>Geoscience Australia AECR 2025</t>
        </is>
      </c>
      <c r="E4" s="5" t="inlineStr">
        <is>
          <t>2023-24 total: LNG exports ~4,509 PJ (74%) + domestic ~1,591 PJ (26%)</t>
        </is>
      </c>
    </row>
    <row r="5" ht="36" customHeight="1">
      <c r="A5" s="5" t="inlineStr">
        <is>
          <t>AES final energy (oil &amp; gas extraction)</t>
        </is>
      </c>
      <c r="B5" s="5" t="n">
        <v>471</v>
      </c>
      <c r="C5" s="5" t="inlineStr">
        <is>
          <t>PJ</t>
        </is>
      </c>
      <c r="D5" s="5" t="inlineStr">
        <is>
          <t>AES 2023-24 Table F — DCCEEW</t>
        </is>
      </c>
      <c r="E5" s="5" t="inlineStr">
        <is>
          <t>ANZSIC 0700 final energy. Excludes LNG liquefaction own-use (classified as energy transformation).</t>
        </is>
      </c>
    </row>
    <row r="6" ht="36" customHeight="1">
      <c r="A6" s="5" t="inlineStr">
        <is>
          <t>Previous model energy (gas_mining)</t>
        </is>
      </c>
      <c r="B6" s="5" t="n">
        <v>595</v>
      </c>
      <c r="C6" s="5" t="inlineStr">
        <is>
          <t>PJ</t>
        </is>
      </c>
      <c r="D6" s="5" t="inlineStr">
        <is>
          <t>Old gas_mining generator (AES estimate)</t>
        </is>
      </c>
      <c r="E6" s="5" t="inlineStr">
        <is>
          <t>Overcount: included LNG liquefaction own-use ~124 PJ.</t>
        </is>
      </c>
    </row>
    <row r="7" ht="36" customHeight="1">
      <c r="A7" s="5" t="inlineStr">
        <is>
          <t>Gas own-use coefficient (revised)</t>
        </is>
      </c>
      <c r="B7" s="5" t="n">
        <v>62300</v>
      </c>
      <c r="C7" s="5" t="inlineStr">
        <is>
          <t>GJ/PJ_gas</t>
        </is>
      </c>
      <c r="D7" s="5" t="inlineStr">
        <is>
          <t>AES 2023-24 Table F / Geoscience Australia</t>
        </is>
      </c>
      <c r="E7" s="5" t="inlineStr">
        <is>
          <t>380 PJ / 6,100 PJ. Upstream only (well compression + gathering + processing).</t>
        </is>
      </c>
    </row>
    <row r="8" ht="36" customHeight="1">
      <c r="A8" s="5" t="inlineStr">
        <is>
          <t>Gas own-use coefficient (previous)</t>
        </is>
      </c>
      <c r="B8" s="5" t="n">
        <v>82000</v>
      </c>
      <c r="C8" s="5" t="inlineStr">
        <is>
          <t>GJ/PJ_gas</t>
        </is>
      </c>
      <c r="D8" s="5" t="inlineStr">
        <is>
          <t>Old estimate</t>
        </is>
      </c>
      <c r="E8" s="5" t="inlineStr">
        <is>
          <t>Incorrectly included LNG liquefaction own-use (~316 PJ from Geoscience Australia 7% LNG factor).</t>
        </is>
      </c>
    </row>
    <row r="9" ht="36" customHeight="1">
      <c r="A9" s="5" t="inlineStr">
        <is>
          <t>Diesel coefficient</t>
        </is>
      </c>
      <c r="B9" s="5" t="n">
        <v>9800</v>
      </c>
      <c r="C9" s="5" t="inlineStr">
        <is>
          <t>GJ/PJ_gas</t>
        </is>
      </c>
      <c r="D9" s="5" t="inlineStr">
        <is>
          <t>AES 2023-24 Table F</t>
        </is>
      </c>
      <c r="E9" s="5" t="inlineStr">
        <is>
          <t>60 PJ / 6,100 PJ. Drilling rigs, earthworks, auxiliary plant.</t>
        </is>
      </c>
    </row>
    <row r="10" ht="36" customHeight="1">
      <c r="A10" s="5" t="inlineStr">
        <is>
          <t>Electricity coefficient</t>
        </is>
      </c>
      <c r="B10" s="5" t="n">
        <v>5100</v>
      </c>
      <c r="C10" s="5" t="inlineStr">
        <is>
          <t>GJ/PJ_gas</t>
        </is>
      </c>
      <c r="D10" s="5" t="inlineStr">
        <is>
          <t>AES 2023-24 Table F</t>
        </is>
      </c>
      <c r="E10" s="5" t="inlineStr">
        <is>
          <t>31 PJ / 6,100 PJ. Fixed facility loads.</t>
        </is>
      </c>
    </row>
    <row r="11" ht="36" customHeight="1">
      <c r="A11" s="5" t="inlineStr">
        <is>
          <t>Total SEI (revised)</t>
        </is>
      </c>
      <c r="B11" s="5" t="n">
        <v>77200</v>
      </c>
      <c r="C11" s="5" t="inlineStr">
        <is>
          <t>GJ/PJ_gas</t>
        </is>
      </c>
      <c r="D11" s="5" t="inlineStr">
        <is>
          <t>Derived</t>
        </is>
      </c>
      <c r="E11" s="5" t="inlineStr">
        <is>
          <t>Sense-check: 77,200 × 6,100 / 1e6 = 470.9 PJ ≈ AES 471 PJ ✓</t>
        </is>
      </c>
    </row>
    <row r="12" ht="36" customHeight="1">
      <c r="A12" s="5" t="inlineStr">
        <is>
          <t>Energy CO2e (revised)</t>
        </is>
      </c>
      <c r="B12" s="5" t="n">
        <v>3610</v>
      </c>
      <c r="C12" s="5" t="inlineStr">
        <is>
          <t>tCO2e/PJ_gas</t>
        </is>
      </c>
      <c r="D12" s="5" t="inlineStr">
        <is>
          <t>NGGI 2023-24 Cat 1A2 (calibrated)</t>
        </is>
      </c>
      <c r="E12" s="5" t="inlineStr">
        <is>
          <t>22 MtCO2e / 6,100 PJ = 3,607 → 3,610 tCO2e/PJ. NGGI-direct calibration.</t>
        </is>
      </c>
    </row>
    <row r="13" ht="36" customHeight="1">
      <c r="A13" s="5" t="inlineStr">
        <is>
          <t>Energy CO2e (AES-derived, pre-NGGI)</t>
        </is>
      </c>
      <c r="B13" s="5" t="n">
        <v>3887</v>
      </c>
      <c r="C13" s="5" t="inlineStr">
        <is>
          <t>tCO2e/PJ_gas</t>
        </is>
      </c>
      <c r="D13" s="5" t="inlineStr">
        <is>
          <t>NGA 2024 EFs: gas 51.4, diesel 69.9 kgCO2e/GJ</t>
        </is>
      </c>
      <c r="E13" s="5" t="inlineStr">
        <is>
          <t>(62,300×51.4 + 9,800×69.9)/1,000 = 3,887 → 23.7 MtCO2e. Gap 1.7 MtCO2e = flaring/venting in fugitive.</t>
        </is>
      </c>
    </row>
    <row r="14" ht="36" customHeight="1">
      <c r="A14" s="5" t="inlineStr">
        <is>
          <t>Energy CO2e (previous model)</t>
        </is>
      </c>
      <c r="B14" s="5" t="n">
        <v>4840</v>
      </c>
      <c r="C14" s="5" t="inlineStr">
        <is>
          <t>tCO2e/PJ_gas</t>
        </is>
      </c>
      <c r="D14" s="5" t="inlineStr">
        <is>
          <t>Old generator (NGA 2024 EFs × wrong gas coeff)</t>
        </is>
      </c>
      <c r="E14" s="5" t="inlineStr">
        <is>
          <t>Overcount: 29.5 MtCO2e vs NGGI 22.0 MtCO2e.</t>
        </is>
      </c>
    </row>
    <row r="15" ht="36" customHeight="1">
      <c r="A15" s="5" t="inlineStr">
        <is>
          <t>Fugitive CO2e (revised)</t>
        </is>
      </c>
      <c r="B15" s="5" t="n">
        <v>3610</v>
      </c>
      <c r="C15" s="5" t="inlineStr">
        <is>
          <t>tCO2e/PJ_gas</t>
        </is>
      </c>
      <c r="D15" s="5" t="inlineStr">
        <is>
          <t>NGGI 2023-24 Cat 1B2b</t>
        </is>
      </c>
      <c r="E15" s="5" t="inlineStr">
        <is>
          <t>22 MtCO2e / 6,100 PJ = 3,607 → 3,610. Includes flaring/venting gas reclassified from energy.</t>
        </is>
      </c>
    </row>
    <row r="16" ht="36" customHeight="1">
      <c r="A16" s="5" t="inlineStr">
        <is>
          <t>Fugitive CO2e (previous model)</t>
        </is>
      </c>
      <c r="B16" s="5" t="n">
        <v>3280</v>
      </c>
      <c r="C16" s="5" t="inlineStr">
        <is>
          <t>tCO2e/PJ_gas</t>
        </is>
      </c>
      <c r="D16" s="5" t="inlineStr">
        <is>
          <t>NGGI 2022-23 Cat 1B2b</t>
        </is>
      </c>
      <c r="E16" s="5" t="inlineStr">
        <is>
          <t>20.0 MtCO2e. Used older inventory year; undercount by 2 MtCO2e.</t>
        </is>
      </c>
    </row>
    <row r="17" ht="36" customHeight="1">
      <c r="A17" s="5" t="inlineStr">
        <is>
          <t>Demand trajectory</t>
        </is>
      </c>
      <c r="B17" s="5" t="inlineStr">
        <is>
          <t>−1.0%/yr</t>
        </is>
      </c>
      <c r="C17" s="5" t="inlineStr">
        <is>
          <t>compound</t>
        </is>
      </c>
      <c r="D17" s="5" t="inlineStr">
        <is>
          <t>AEMO ISP 2024 Step Change</t>
        </is>
      </c>
      <c r="E17" s="5" t="inlineStr">
        <is>
          <t>Global LNG demand peaking post-2030; domestic gas declining as electrification proceeds.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8" customWidth="1" min="7" max="7"/>
    <col width="20" customWidth="1" min="8" max="8"/>
    <col width="22" customWidth="1" min="9" max="9"/>
    <col width="12" customWidth="1" min="10" max="10"/>
    <col width="14" customWidth="1" min="11" max="11"/>
  </cols>
  <sheetData>
    <row r="1">
      <c r="A1" s="1" t="inlineStr">
        <is>
          <t>Oil &amp; Gas Extraction — Technology State Assumptions (2025, Revised)</t>
        </is>
      </c>
    </row>
    <row r="3" ht="36" customHeight="1">
      <c r="A3" s="7" t="inlineStr">
        <is>
          <t>State ID</t>
        </is>
      </c>
      <c r="B3" s="7" t="inlineStr">
        <is>
          <t>Label</t>
        </is>
      </c>
      <c r="C3" s="7" t="inlineStr">
        <is>
          <t>Gas (GJ/PJ)</t>
        </is>
      </c>
      <c r="D3" s="7" t="inlineStr">
        <is>
          <t>Diesel (GJ/PJ)</t>
        </is>
      </c>
      <c r="E3" s="7" t="inlineStr">
        <is>
          <t>Elec (GJ/PJ)</t>
        </is>
      </c>
      <c r="F3" s="7" t="inlineStr">
        <is>
          <t>SEI (GJ/PJ)</t>
        </is>
      </c>
      <c r="G3" s="7" t="inlineStr">
        <is>
          <t>EEI</t>
        </is>
      </c>
      <c r="H3" s="7" t="inlineStr">
        <is>
          <t>Energy CO2e (tCO2e/PJ)</t>
        </is>
      </c>
      <c r="I3" s="7" t="inlineStr">
        <is>
          <t>Fugitive CO2e (tCO2e/PJ)</t>
        </is>
      </c>
      <c r="J3" s="7" t="inlineStr">
        <is>
          <t>Max share 2025</t>
        </is>
      </c>
      <c r="K3" s="7" t="inlineStr">
        <is>
          <t>Confidence</t>
        </is>
      </c>
    </row>
    <row r="4" ht="24" customHeight="1">
      <c r="A4" s="11" t="inlineStr">
        <is>
          <t>oil_and_gas_extraction__conventional</t>
        </is>
      </c>
      <c r="B4" s="11" t="inlineStr">
        <is>
          <t>Conventional (gas turbine + diesel + grid)</t>
        </is>
      </c>
      <c r="C4" s="12" t="n">
        <v>62300</v>
      </c>
      <c r="D4" s="12" t="n">
        <v>9800</v>
      </c>
      <c r="E4" s="12" t="n">
        <v>5100</v>
      </c>
      <c r="F4" s="12" t="n">
        <v>77200</v>
      </c>
      <c r="G4" s="12" t="n">
        <v>1</v>
      </c>
      <c r="H4" s="12" t="n">
        <v>3610</v>
      </c>
      <c r="I4" s="12" t="n">
        <v>3610</v>
      </c>
      <c r="J4" s="12" t="inlineStr">
        <is>
          <t>1.00</t>
        </is>
      </c>
      <c r="K4" s="12" t="inlineStr">
        <is>
          <t>Medium</t>
        </is>
      </c>
    </row>
    <row r="5" ht="24" customHeight="1">
      <c r="A5" s="11" t="inlineStr">
        <is>
          <t>oil_and_gas_extraction__electric_compression</t>
        </is>
      </c>
      <c r="B5" s="11" t="inlineStr">
        <is>
          <t>Electric motor drive compression</t>
        </is>
      </c>
      <c r="C5" s="12" t="n">
        <v>23000</v>
      </c>
      <c r="D5" s="12" t="n">
        <v>9800</v>
      </c>
      <c r="E5" s="12" t="n">
        <v>17500</v>
      </c>
      <c r="F5" s="12" t="n">
        <v>50300</v>
      </c>
      <c r="G5" s="12" t="n">
        <v>0.651</v>
      </c>
      <c r="H5" s="12" t="n">
        <v>1730</v>
      </c>
      <c r="I5" s="12" t="n">
        <v>3610</v>
      </c>
      <c r="J5" s="12" t="inlineStr">
        <is>
          <t>0.01</t>
        </is>
      </c>
      <c r="K5" s="12" t="inlineStr">
        <is>
          <t>Low-Medium</t>
        </is>
      </c>
    </row>
    <row r="6" ht="24" customHeight="1">
      <c r="A6" s="11" t="inlineStr">
        <is>
          <t>oil_and_gas_extraction__ldar_no_flare</t>
        </is>
      </c>
      <c r="B6" s="11" t="inlineStr">
        <is>
          <t>LDAR and zero routine flaring</t>
        </is>
      </c>
      <c r="C6" s="12" t="n">
        <v>62300</v>
      </c>
      <c r="D6" s="12" t="n">
        <v>9800</v>
      </c>
      <c r="E6" s="12" t="n">
        <v>5200</v>
      </c>
      <c r="F6" s="12" t="n">
        <v>77300</v>
      </c>
      <c r="G6" s="12" t="n">
        <v>1.001</v>
      </c>
      <c r="H6" s="12" t="n">
        <v>3610</v>
      </c>
      <c r="I6" s="12" t="n">
        <v>1805</v>
      </c>
      <c r="J6" s="12" t="inlineStr">
        <is>
          <t>0.02</t>
        </is>
      </c>
      <c r="K6" s="12" t="inlineStr">
        <is>
          <t>Medium</t>
        </is>
      </c>
    </row>
    <row r="7" ht="24" customHeight="1">
      <c r="A7" s="11" t="inlineStr">
        <is>
          <t>oil_and_gas_extraction__renewable_diesel</t>
        </is>
      </c>
      <c r="B7" s="11" t="inlineStr">
        <is>
          <t>Remote wellsite solar-diesel hybrid</t>
        </is>
      </c>
      <c r="C7" s="12" t="n">
        <v>62300</v>
      </c>
      <c r="D7" s="12" t="n">
        <v>4900</v>
      </c>
      <c r="E7" s="12" t="n">
        <v>6600</v>
      </c>
      <c r="F7" s="12" t="n">
        <v>73800</v>
      </c>
      <c r="G7" s="12" t="n">
        <v>0.956</v>
      </c>
      <c r="H7" s="12" t="n">
        <v>3290</v>
      </c>
      <c r="I7" s="12" t="n">
        <v>3610</v>
      </c>
      <c r="J7" s="12" t="inlineStr">
        <is>
          <t>0.01</t>
        </is>
      </c>
      <c r="K7" s="12" t="inlineStr">
        <is>
          <t>Medium</t>
        </is>
      </c>
    </row>
    <row r="8" ht="24" customHeight="1">
      <c r="A8" s="11" t="inlineStr">
        <is>
          <t>oil_and_gas_extraction__integrated_low_emission</t>
        </is>
      </c>
      <c r="B8" s="11" t="inlineStr">
        <is>
          <t>Integrated low-emission</t>
        </is>
      </c>
      <c r="C8" s="12" t="n">
        <v>19000</v>
      </c>
      <c r="D8" s="12" t="n">
        <v>4900</v>
      </c>
      <c r="E8" s="12" t="n">
        <v>18500</v>
      </c>
      <c r="F8" s="12" t="n">
        <v>42400</v>
      </c>
      <c r="G8" s="12" t="n">
        <v>0.549</v>
      </c>
      <c r="H8" s="12" t="n">
        <v>1230</v>
      </c>
      <c r="I8" s="12" t="n">
        <v>1805</v>
      </c>
      <c r="J8" s="12" t="inlineStr">
        <is>
          <t>0.00</t>
        </is>
      </c>
      <c r="K8" s="12" t="inlineStr">
        <is>
          <t>Exploratory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46" customWidth="1" min="4" max="4"/>
  </cols>
  <sheetData>
    <row r="1">
      <c r="A1" s="1" t="inlineStr">
        <is>
          <t>Oil &amp; Gas Extraction — Demand Trajectory (declining__oil_and_gas_extraction_total, −1.0%/yr)</t>
        </is>
      </c>
    </row>
    <row r="3">
      <c r="A3" s="7" t="inlineStr">
        <is>
          <t>Year</t>
        </is>
      </c>
      <c r="B3" s="7" t="inlineStr">
        <is>
          <t>Total demand (PJ_gas)</t>
        </is>
      </c>
      <c r="C3" s="7" t="inlineStr">
        <is>
          <t>Index (2025=1.000)</t>
        </is>
      </c>
      <c r="D3" s="7" t="inlineStr">
        <is>
          <t>Notes</t>
        </is>
      </c>
    </row>
    <row r="4">
      <c r="A4" s="8" t="n">
        <v>2025</v>
      </c>
      <c r="B4" s="8" t="n">
        <v>6100</v>
      </c>
      <c r="C4" s="8" t="n">
        <v>1</v>
      </c>
      <c r="D4" s="13" t="inlineStr">
        <is>
          <t>Anchor (Geoscience Australia AECR 2025)</t>
        </is>
      </c>
    </row>
    <row r="5">
      <c r="A5" s="8" t="n">
        <v>2030</v>
      </c>
      <c r="B5" s="8" t="n">
        <v>5799</v>
      </c>
      <c r="C5" s="8" t="n">
        <v>0.9507</v>
      </c>
      <c r="D5" s="13" t="inlineStr"/>
    </row>
    <row r="6">
      <c r="A6" s="8" t="n">
        <v>2035</v>
      </c>
      <c r="B6" s="8" t="n">
        <v>5517</v>
      </c>
      <c r="C6" s="8" t="n">
        <v>0.9044</v>
      </c>
      <c r="D6" s="13" t="inlineStr"/>
    </row>
    <row r="7">
      <c r="A7" s="8" t="n">
        <v>2040</v>
      </c>
      <c r="B7" s="8" t="n">
        <v>5247</v>
      </c>
      <c r="C7" s="8" t="n">
        <v>0.8602</v>
      </c>
      <c r="D7" s="13" t="inlineStr"/>
    </row>
    <row r="8">
      <c r="A8" s="8" t="n">
        <v>2045</v>
      </c>
      <c r="B8" s="8" t="n">
        <v>4990</v>
      </c>
      <c r="C8" s="8" t="n">
        <v>0.8179999999999999</v>
      </c>
      <c r="D8" s="13" t="inlineStr"/>
    </row>
    <row r="9">
      <c r="A9" s="8" t="n">
        <v>2050</v>
      </c>
      <c r="B9" s="8" t="n">
        <v>4745</v>
      </c>
      <c r="C9" s="8" t="n">
        <v>0.7779</v>
      </c>
      <c r="D9" s="13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4" customWidth="1" min="3" max="3"/>
    <col width="64" customWidth="1" min="4" max="4"/>
  </cols>
  <sheetData>
    <row r="1">
      <c r="A1" s="1" t="inlineStr">
        <is>
          <t>Oil &amp; Gas Extraction — Sources and Assumptions Register</t>
        </is>
      </c>
    </row>
    <row r="3">
      <c r="A3" s="14" t="inlineStr">
        <is>
          <t>ID</t>
        </is>
      </c>
      <c r="B3" s="14" t="inlineStr">
        <is>
          <t>Type</t>
        </is>
      </c>
      <c r="C3" s="14" t="inlineStr">
        <is>
          <t>Reference</t>
        </is>
      </c>
      <c r="D3" s="14" t="inlineStr">
        <is>
          <t>Used for</t>
        </is>
      </c>
    </row>
    <row r="4" ht="52" customHeight="1">
      <c r="A4" s="5" t="inlineStr">
        <is>
          <t>S001</t>
        </is>
      </c>
      <c r="B4" s="5" t="inlineStr">
        <is>
          <t>Source</t>
        </is>
      </c>
      <c r="C4" s="5" t="inlineStr">
        <is>
          <t>Australian Energy Statistics (AES) 2023-24, Table F — DCCEEW</t>
        </is>
      </c>
      <c r="D4" s="5" t="inlineStr">
        <is>
          <t>Final energy 471 PJ for oil and gas extraction (ANZSIC 0700). Excludes LNG liquefaction own-use.</t>
        </is>
      </c>
    </row>
    <row r="5" ht="52" customHeight="1">
      <c r="A5" s="5" t="inlineStr">
        <is>
          <t>S002</t>
        </is>
      </c>
      <c r="B5" s="5" t="inlineStr">
        <is>
          <t>Source</t>
        </is>
      </c>
      <c r="C5" s="5" t="inlineStr">
        <is>
          <t>National Greenhouse Gas Inventory (NGGI) 2023-24 — DCCEEW</t>
        </is>
      </c>
      <c r="D5" s="5" t="inlineStr">
        <is>
          <t>Cat 1A2 energy emissions 22 MtCO2e; Cat 1B2b fugitive 22 MtCO2e. Both calibration targets.</t>
        </is>
      </c>
    </row>
    <row r="6" ht="52" customHeight="1">
      <c r="A6" s="5" t="inlineStr">
        <is>
          <t>S022</t>
        </is>
      </c>
      <c r="B6" s="5" t="inlineStr">
        <is>
          <t>Source</t>
        </is>
      </c>
      <c r="C6" s="5" t="inlineStr">
        <is>
          <t>Geoscience Australia — Australian Energy Commodity Report (AECR) 2025</t>
        </is>
      </c>
      <c r="D6" s="5" t="inlineStr">
        <is>
          <t>Total gas production anchor 6,100 PJ; LNG exports 4,509 PJ; domestic supply 1,591 PJ.</t>
        </is>
      </c>
    </row>
    <row r="7" ht="52" customHeight="1">
      <c r="A7" s="5" t="inlineStr">
        <is>
          <t>S023</t>
        </is>
      </c>
      <c r="B7" s="5" t="inlineStr">
        <is>
          <t>Source</t>
        </is>
      </c>
      <c r="C7" s="5" t="inlineStr">
        <is>
          <t>National Greenhouse and Energy Reporting (NGER) data 2022-23 — CER</t>
        </is>
      </c>
      <c r="D7" s="5" t="inlineStr">
        <is>
          <t>Facility-level energy and emissions for upstream operators (Santos, Woodside, Beach, Origin).</t>
        </is>
      </c>
    </row>
    <row r="8" ht="52" customHeight="1">
      <c r="A8" s="5" t="inlineStr">
        <is>
          <t>S024</t>
        </is>
      </c>
      <c r="B8" s="5" t="inlineStr">
        <is>
          <t>Source</t>
        </is>
      </c>
      <c r="C8" s="5" t="inlineStr">
        <is>
          <t>NGA 2024 — National Greenhouse Accounts Emission Factors — DCCEEW</t>
        </is>
      </c>
      <c r="D8" s="5" t="inlineStr">
        <is>
          <t>EF natural gas combustion 51.4 kgCO2e/GJ; diesel 69.9 kgCO2e/GJ (AR5 GWP100).</t>
        </is>
      </c>
    </row>
    <row r="9" ht="52" customHeight="1">
      <c r="A9" s="5" t="inlineStr">
        <is>
          <t>S025</t>
        </is>
      </c>
      <c r="B9" s="5" t="inlineStr">
        <is>
          <t>Source</t>
        </is>
      </c>
      <c r="C9" s="5" t="inlineStr">
        <is>
          <t>IEA Natural Gas Decarbonisation 2022; IEA Global Methane Tracker 2024</t>
        </is>
      </c>
      <c r="D9" s="5" t="inlineStr">
        <is>
          <t>LDAR methane reduction potential; electric compression technology costs; pathway benchmarks.</t>
        </is>
      </c>
    </row>
    <row r="10" ht="52" customHeight="1">
      <c r="A10" s="5" t="inlineStr">
        <is>
          <t>S026</t>
        </is>
      </c>
      <c r="B10" s="5" t="inlineStr">
        <is>
          <t>Source</t>
        </is>
      </c>
      <c r="C10" s="5" t="inlineStr">
        <is>
          <t>AEMO Integrated System Plan (ISP) 2024 — Step Change scenario</t>
        </is>
      </c>
      <c r="D10" s="5" t="inlineStr">
        <is>
          <t>Gas demand trajectory; domestic gas demand decline rate as electrification proceeds.</t>
        </is>
      </c>
    </row>
    <row r="11" ht="52" customHeight="1">
      <c r="A11" s="5" t="inlineStr">
        <is>
          <t>A002</t>
        </is>
      </c>
      <c r="B11" s="5" t="inlineStr">
        <is>
          <t>Assumption</t>
        </is>
      </c>
      <c r="C11" s="5" t="inlineStr">
        <is>
          <t>AES final energy (471 PJ) covers only upstream oil and gas extraction (ANZSIC 0700) final energy</t>
        </is>
      </c>
      <c r="D11" s="5" t="inlineStr">
        <is>
          <t>LNG liquefaction own-use (~316 PJ) is classified in AES as 'energy transformation', not 'final energy consumption'. This is the main source of the 595→471 PJ correction.</t>
        </is>
      </c>
    </row>
    <row r="12" ht="52" customHeight="1">
      <c r="A12" s="5" t="inlineStr">
        <is>
          <t>A003</t>
        </is>
      </c>
      <c r="B12" s="5" t="inlineStr">
        <is>
          <t>Assumption</t>
        </is>
      </c>
      <c r="C12" s="5" t="inlineStr">
        <is>
          <t>Scope 1 boundary: direct combustion (Cat 1A2) and fugitive (Cat 1B2b) only</t>
        </is>
      </c>
      <c r="D12" s="5" t="inlineStr">
        <is>
          <t>Routine flaring/venting gas combustion is classified as fugitive (1B2b) not energy (1A2) in NGGI. The 1.7 MtCO2e gap between AES-derived combustion and NGGI 1A2 is explained by this reclassification.</t>
        </is>
      </c>
    </row>
    <row r="13" ht="52" customHeight="1">
      <c r="A13" s="5" t="inlineStr">
        <is>
          <t>A010</t>
        </is>
      </c>
      <c r="B13" s="5" t="inlineStr">
        <is>
          <t>Assumption</t>
        </is>
      </c>
      <c r="C13" s="5" t="inlineStr">
        <is>
          <t>Per-PJ_gas coefficients are national averages combining onshore CSG, conventional, and LNG</t>
        </is>
      </c>
      <c r="D13" s="5" t="inlineStr">
        <is>
          <t>Phase 2: disaggregate into QLD CSG, WA/NT onshore conventional, and offshore LNG sub-families. National average used in Phase 1 only.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2026-05-01T11:41:55Z</dcterms:created>
  <dcterms:modified xmlns:dcterms="http://purl.org/dc/terms/" xmlns:xsi="http://www.w3.org/2001/XMLSchema-instance" xsi:type="dcterms:W3CDTF">2026-05-01T11:41:55Z</dcterms:modified>
</cp:coreProperties>
</file>