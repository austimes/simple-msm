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ergy_Emissions_SenseCheck" sheetId="2" state="visible" r:id="rId2"/>
    <sheet xmlns:r="http://schemas.openxmlformats.org/officeDocument/2006/relationships" name="174PJ_Calibration" sheetId="3" state="visible" r:id="rId3"/>
    <sheet xmlns:r="http://schemas.openxmlformats.org/officeDocument/2006/relationships" name="Total_Production" sheetId="4" state="visible" r:id="rId4"/>
    <sheet xmlns:r="http://schemas.openxmlformats.org/officeDocument/2006/relationships" name="State_Assumptions" sheetId="5" state="visible" r:id="rId5"/>
    <sheet xmlns:r="http://schemas.openxmlformats.org/officeDocument/2006/relationships" name="Total_Demand" sheetId="6" state="visible" r:id="rId6"/>
    <sheet xmlns:r="http://schemas.openxmlformats.org/officeDocument/2006/relationships" name="Emissions_Pathways" sheetId="7" state="visible" r:id="rId7"/>
    <sheet xmlns:r="http://schemas.openxmlformats.org/officeDocument/2006/relationships" name="Cha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1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0"/>
    </font>
    <font>
      <sz val="10"/>
    </font>
    <font>
      <b val="1"/>
      <color rgb="001F4E79"/>
      <sz val="11"/>
    </font>
    <font>
      <b val="1"/>
      <color rgb="001F4E79"/>
      <sz val="14"/>
    </font>
    <font>
      <b val="1"/>
      <color rgb="00375623"/>
      <sz val="11"/>
    </font>
    <font>
      <b val="1"/>
      <color rgb="00FFFFFF"/>
      <sz val="11"/>
    </font>
    <font>
      <b val="1"/>
      <i val="1"/>
      <color rgb="00C00000"/>
      <sz val="10"/>
    </font>
    <font>
      <b val="1"/>
      <color rgb="00C00000"/>
      <sz val="10"/>
    </font>
    <font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4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2" fillId="2" borderId="1" applyAlignment="1" pivotButton="0" quotePrefix="0" xfId="0">
      <alignment horizontal="right"/>
    </xf>
    <xf numFmtId="0" fontId="3" fillId="3" borderId="1" applyAlignment="1" pivotButton="0" quotePrefix="0" xfId="0">
      <alignment horizontal="right"/>
    </xf>
    <xf numFmtId="3" fontId="3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8" fillId="5" borderId="0" pivotButton="0" quotePrefix="0" xfId="0"/>
    <xf numFmtId="164" fontId="9" fillId="5" borderId="0" pivotButton="0" quotePrefix="0" xfId="0"/>
    <xf numFmtId="0" fontId="10" fillId="0" borderId="0" pivotButton="0" quotePrefix="0" xfId="0"/>
    <xf numFmtId="2" fontId="3" fillId="0" borderId="1" applyAlignment="1" pivotButton="0" quotePrefix="0" xfId="0">
      <alignment horizontal="right"/>
    </xf>
    <xf numFmtId="2" fontId="2" fillId="2" borderId="1" applyAlignment="1" pivotButton="0" quotePrefix="0" xfId="0">
      <alignment horizontal="right"/>
    </xf>
    <xf numFmtId="2" fontId="3" fillId="3" borderId="1" applyAlignment="1" pivotButton="0" quotePrefix="0" xfId="0">
      <alignment horizontal="right"/>
    </xf>
    <xf numFmtId="2" fontId="9" fillId="5" borderId="0" pivotButton="0" quotePrefix="0" xfId="0"/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Coal Mining — Fuel Consumption by Type (PJ, Conventional State)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'Energy_Emissions_SenseCheck'!C17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'Energy_Emissions_SenseCheck'!$B$18:$B$23</f>
            </numRef>
          </cat>
          <val>
            <numRef>
              <f>'Energy_Emissions_SenseCheck'!$C$18:$C$23</f>
            </numRef>
          </val>
        </ser>
        <ser>
          <idx val="1"/>
          <order val="1"/>
          <tx>
            <strRef>
              <f>'Energy_Emissions_SenseCheck'!D17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'Energy_Emissions_SenseCheck'!$B$18:$B$23</f>
            </numRef>
          </cat>
          <val>
            <numRef>
              <f>'Energy_Emissions_SenseCheck'!$D$18:$D$23</f>
            </numRef>
          </val>
        </ser>
        <ser>
          <idx val="2"/>
          <order val="2"/>
          <tx>
            <strRef>
              <f>'Energy_Emissions_SenseCheck'!E17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cat>
            <numRef>
              <f>'Energy_Emissions_SenseCheck'!$B$18:$B$23</f>
            </numRef>
          </cat>
          <val>
            <numRef>
              <f>'Energy_Emissions_SenseCheck'!$E$18:$E$23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PJ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Coal Mining — Emissions by Type (MtCO2e, Conventional State)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'Energy_Emissions_SenseCheck'!C48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'Energy_Emissions_SenseCheck'!$B$49:$B$54</f>
            </numRef>
          </cat>
          <val>
            <numRef>
              <f>'Energy_Emissions_SenseCheck'!$C$49:$C$54</f>
            </numRef>
          </val>
        </ser>
        <ser>
          <idx val="1"/>
          <order val="1"/>
          <tx>
            <strRef>
              <f>'Energy_Emissions_SenseCheck'!D48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'Energy_Emissions_SenseCheck'!$B$49:$B$54</f>
            </numRef>
          </cat>
          <val>
            <numRef>
              <f>'Energy_Emissions_SenseCheck'!$D$49:$D$54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MtCO2e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Australian Coal Demand Trajectory (kt)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</f>
            </strRef>
          </tx>
          <spPr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'Charts'!$A$2:$A$7</f>
            </numRef>
          </cat>
          <val>
            <numRef>
              <f>'Charts'!$B$2:$B$7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kt coal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 Specific Energy Intensity by State (GJ/kt)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'Charts'!$A$11:$A$15</f>
            </numRef>
          </cat>
          <val>
            <numRef>
              <f>'Charts'!$B$11:$B$15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GJ/kt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 Total CO2e Intensity by State (tCO2e/kt)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'Charts'!$A$21:$A$25</f>
            </numRef>
          </cat>
          <val>
            <numRef>
              <f>'Charts'!$B$21:$B$25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tCO2e/kt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Coal Mining Energy Use (PJ, conventional state)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'Charts'!B30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'Charts'!$A$31:$A$36</f>
            </numRef>
          </cat>
          <val>
            <numRef>
              <f>'Charts'!$B$31:$B$36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PJ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47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35</row>
      <rowOff>0</rowOff>
    </from>
    <ext cx="72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53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0" customWidth="1" min="3" max="3"/>
  </cols>
  <sheetData>
    <row r="2">
      <c r="B2" s="1" t="inlineStr">
        <is>
          <t>Coal Mining Sector — Calibration Workbook</t>
        </is>
      </c>
    </row>
    <row r="4">
      <c r="B4" s="2" t="inlineStr">
        <is>
          <t>Date</t>
        </is>
      </c>
      <c r="C4" s="3" t="inlineStr">
        <is>
          <t>01 May 2026</t>
        </is>
      </c>
    </row>
    <row r="5">
      <c r="B5" s="2" t="inlineStr">
        <is>
          <t>Version</t>
        </is>
      </c>
      <c r="C5" s="3" t="inlineStr">
        <is>
          <t>1.1</t>
        </is>
      </c>
    </row>
    <row r="6">
      <c r="B6" s="2" t="inlineStr">
        <is>
          <t>Status</t>
        </is>
      </c>
      <c r="C6" s="3" t="inlineStr">
        <is>
          <t>Phase 1 calibration — total production basis (420,000 kt)</t>
        </is>
      </c>
    </row>
    <row r="7">
      <c r="B7" s="2" t="inlineStr">
        <is>
          <t>Data basis</t>
        </is>
      </c>
      <c r="C7" s="3" t="inlineStr">
        <is>
          <t>AES 2023-24 Table F; NGGI 2022-23; Geoscience Australia 2023-24</t>
        </is>
      </c>
    </row>
    <row r="8">
      <c r="B8" s="2" t="inlineStr">
        <is>
          <t>Author</t>
        </is>
      </c>
      <c r="C8" s="3" t="inlineStr">
        <is>
          <t>Simple MSM core library team</t>
        </is>
      </c>
    </row>
    <row r="9">
      <c r="B9" s="2" t="inlineStr">
        <is>
          <t>Model family</t>
        </is>
      </c>
      <c r="C9" s="3" t="inlineStr">
        <is>
          <t>coal_mining (required_service, kt_coal)</t>
        </is>
      </c>
    </row>
    <row r="10">
      <c r="B10" s="2" t="inlineStr">
        <is>
          <t>Anchor value</t>
        </is>
      </c>
      <c r="C10" s="3" t="inlineStr">
        <is>
          <t>420,000 kt (total production, 2025)</t>
        </is>
      </c>
    </row>
    <row r="11">
      <c r="B11" s="2" t="inlineStr">
        <is>
          <t>Growth curve</t>
        </is>
      </c>
      <c r="C11" s="3" t="inlineStr">
        <is>
          <t>declining__coal_mining_total (−1.1%/yr, weighted export+domestic)</t>
        </is>
      </c>
    </row>
    <row r="12">
      <c r="B12" s="2" t="inlineStr">
        <is>
          <t>Energy sense-check</t>
        </is>
      </c>
      <c r="C12" s="4" t="inlineStr">
        <is>
          <t>406 GJ/kt × 420,000 kt = 170.5 PJ  (AES 174.0 PJ = 98.0%) ✓</t>
        </is>
      </c>
    </row>
    <row r="13">
      <c r="B13" s="2" t="inlineStr">
        <is>
          <t>Fugitive sense-check</t>
        </is>
      </c>
      <c r="C13" s="4" t="inlineStr">
        <is>
          <t>69 tCO2e/kt × 420,000 kt = 29.0 MtCO2e  (NGGI 29 MtCO2e = 99.9%) ✓</t>
        </is>
      </c>
    </row>
    <row r="16">
      <c r="B16" s="5" t="inlineStr">
        <is>
          <t>Workbook contents</t>
        </is>
      </c>
    </row>
    <row r="17">
      <c r="B17" s="2" t="inlineStr">
        <is>
          <t>Sheet</t>
        </is>
      </c>
      <c r="C17" s="2" t="inlineStr">
        <is>
          <t>Contents</t>
        </is>
      </c>
    </row>
    <row r="18">
      <c r="B18" s="6" t="inlineStr">
        <is>
          <t>Energy_Emissions_SenseCheck</t>
        </is>
      </c>
      <c r="C18" s="6" t="inlineStr">
        <is>
          <t>Fuel consumption and emissions by type — primary sense-check</t>
        </is>
      </c>
    </row>
    <row r="19">
      <c r="B19" s="3" t="inlineStr">
        <is>
          <t>174PJ_Calibration</t>
        </is>
      </c>
      <c r="C19" s="3" t="inlineStr">
        <is>
          <t>Step-by-step AES 174 PJ derivation and per-kt coefficients</t>
        </is>
      </c>
    </row>
    <row r="20">
      <c r="B20" s="6" t="inlineStr">
        <is>
          <t>Total_Production</t>
        </is>
      </c>
      <c r="C20" s="6" t="inlineStr">
        <is>
          <t>Total production volume, energy and emissions (combined basis)</t>
        </is>
      </c>
    </row>
    <row r="21">
      <c r="B21" s="3" t="inlineStr">
        <is>
          <t>State_Assumptions</t>
        </is>
      </c>
      <c r="C21" s="3" t="inlineStr">
        <is>
          <t>Technology state assumptions (5 states × 6 years)</t>
        </is>
      </c>
    </row>
    <row r="22">
      <c r="B22" s="6" t="inlineStr">
        <is>
          <t>Total_Demand</t>
        </is>
      </c>
      <c r="C22" s="6" t="inlineStr">
        <is>
          <t>Total demand trajectory 2025–2050</t>
        </is>
      </c>
    </row>
    <row r="23">
      <c r="B23" s="3" t="inlineStr">
        <is>
          <t>Emissions_Pathways</t>
        </is>
      </c>
      <c r="C23" s="3" t="inlineStr">
        <is>
          <t>Energy + fugitive CO2e by state 2025–2050</t>
        </is>
      </c>
    </row>
    <row r="24">
      <c r="B24" s="6" t="inlineStr">
        <is>
          <t>Charts</t>
        </is>
      </c>
      <c r="C24" s="6" t="inlineStr">
        <is>
          <t>Visual charts for demand, energy intensity, and emissions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B1:J5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>
      <c r="B1" s="7" t="inlineStr">
        <is>
          <t>Coal Mining — Energy Consumption &amp; Emissions Sense Check (Conventional State)</t>
        </is>
      </c>
    </row>
    <row r="3">
      <c r="B3" s="8" t="inlineStr">
        <is>
          <t>2025 SENSE CHECK:  Modelled energy = 170.5 PJ  (AES 174 PJ, 98.0% ✓)   |   Modelled fugitive = 29.0 MtCO2e  (NGGI 29 MtCO2e, 99.9% ✓)</t>
        </is>
      </c>
    </row>
    <row r="5">
      <c r="B5" s="5" t="inlineStr">
        <is>
          <t>SECTION 1: Fuel Consumption by Type (Conventional State)</t>
        </is>
      </c>
    </row>
    <row r="6">
      <c r="B6" s="9" t="inlineStr">
        <is>
          <t>Year</t>
        </is>
      </c>
      <c r="C6" s="9" t="inlineStr">
        <is>
          <t>Demand (kt)</t>
        </is>
      </c>
      <c r="D6" s="9" t="inlineStr">
        <is>
          <t>Rfuel (GJ/kt)</t>
        </is>
      </c>
      <c r="E6" s="9" t="inlineStr">
        <is>
          <t>Rfuel (PJ)</t>
        </is>
      </c>
      <c r="F6" s="9" t="inlineStr">
        <is>
          <t>Electricity (GJ/kt)</t>
        </is>
      </c>
      <c r="G6" s="9" t="inlineStr">
        <is>
          <t>Elec (PJ)</t>
        </is>
      </c>
      <c r="H6" s="9" t="inlineStr">
        <is>
          <t>Gas (GJ/kt)</t>
        </is>
      </c>
      <c r="I6" s="9" t="inlineStr">
        <is>
          <t>Gas (PJ)</t>
        </is>
      </c>
      <c r="J6" s="9" t="inlineStr">
        <is>
          <t>Total (PJ)</t>
        </is>
      </c>
    </row>
    <row r="7">
      <c r="B7" s="10" t="n">
        <v>2025</v>
      </c>
      <c r="C7" s="11" t="n">
        <v>420000</v>
      </c>
      <c r="D7" s="11" t="n">
        <v>302</v>
      </c>
      <c r="E7" s="12" t="n">
        <v>126.8</v>
      </c>
      <c r="F7" s="11" t="n">
        <v>79</v>
      </c>
      <c r="G7" s="12" t="n">
        <v>33.2</v>
      </c>
      <c r="H7" s="11" t="n">
        <v>25</v>
      </c>
      <c r="I7" s="12" t="n">
        <v>10.5</v>
      </c>
      <c r="J7" s="13" t="n">
        <v>170.5</v>
      </c>
    </row>
    <row r="8">
      <c r="B8" s="14" t="n">
        <v>2030</v>
      </c>
      <c r="C8" s="15" t="n">
        <v>397403</v>
      </c>
      <c r="D8" s="15" t="n">
        <v>291</v>
      </c>
      <c r="E8" s="16" t="n">
        <v>115.6</v>
      </c>
      <c r="F8" s="15" t="n">
        <v>83</v>
      </c>
      <c r="G8" s="16" t="n">
        <v>33</v>
      </c>
      <c r="H8" s="15" t="n">
        <v>24</v>
      </c>
      <c r="I8" s="16" t="n">
        <v>9.5</v>
      </c>
      <c r="J8" s="12" t="n">
        <v>158.1</v>
      </c>
    </row>
    <row r="9">
      <c r="B9" s="10" t="n">
        <v>2035</v>
      </c>
      <c r="C9" s="11" t="n">
        <v>376021</v>
      </c>
      <c r="D9" s="11" t="n">
        <v>280</v>
      </c>
      <c r="E9" s="12" t="n">
        <v>105.3</v>
      </c>
      <c r="F9" s="11" t="n">
        <v>88</v>
      </c>
      <c r="G9" s="12" t="n">
        <v>33.1</v>
      </c>
      <c r="H9" s="11" t="n">
        <v>23</v>
      </c>
      <c r="I9" s="12" t="n">
        <v>8.6</v>
      </c>
      <c r="J9" s="12" t="n">
        <v>147</v>
      </c>
    </row>
    <row r="10">
      <c r="B10" s="14" t="n">
        <v>2040</v>
      </c>
      <c r="C10" s="15" t="n">
        <v>355797</v>
      </c>
      <c r="D10" s="15" t="n">
        <v>270</v>
      </c>
      <c r="E10" s="16" t="n">
        <v>96.09999999999999</v>
      </c>
      <c r="F10" s="15" t="n">
        <v>94</v>
      </c>
      <c r="G10" s="16" t="n">
        <v>33.4</v>
      </c>
      <c r="H10" s="15" t="n">
        <v>22</v>
      </c>
      <c r="I10" s="16" t="n">
        <v>7.8</v>
      </c>
      <c r="J10" s="12" t="n">
        <v>137.3</v>
      </c>
    </row>
    <row r="11">
      <c r="B11" s="10" t="n">
        <v>2045</v>
      </c>
      <c r="C11" s="11" t="n">
        <v>336649</v>
      </c>
      <c r="D11" s="11" t="n">
        <v>260</v>
      </c>
      <c r="E11" s="12" t="n">
        <v>87.5</v>
      </c>
      <c r="F11" s="11" t="n">
        <v>98</v>
      </c>
      <c r="G11" s="12" t="n">
        <v>33</v>
      </c>
      <c r="H11" s="11" t="n">
        <v>22</v>
      </c>
      <c r="I11" s="12" t="n">
        <v>7.4</v>
      </c>
      <c r="J11" s="12" t="n">
        <v>127.9</v>
      </c>
    </row>
    <row r="12">
      <c r="B12" s="14" t="n">
        <v>2050</v>
      </c>
      <c r="C12" s="15" t="n">
        <v>318541</v>
      </c>
      <c r="D12" s="15" t="n">
        <v>250</v>
      </c>
      <c r="E12" s="16" t="n">
        <v>79.59999999999999</v>
      </c>
      <c r="F12" s="15" t="n">
        <v>104</v>
      </c>
      <c r="G12" s="16" t="n">
        <v>33.1</v>
      </c>
      <c r="H12" s="15" t="n">
        <v>21</v>
      </c>
      <c r="I12" s="16" t="n">
        <v>6.7</v>
      </c>
      <c r="J12" s="12" t="n">
        <v>119.4</v>
      </c>
    </row>
    <row r="13">
      <c r="B13" s="17" t="inlineStr">
        <is>
          <t>AES 2023-24 ref</t>
        </is>
      </c>
      <c r="J13" s="18" t="n">
        <v>174</v>
      </c>
    </row>
    <row r="14">
      <c r="B14" s="19" t="inlineStr">
        <is>
          <t>Note: 2% gap vs AES reflects LPG/biomass fuels excluded from model commodity set.</t>
        </is>
      </c>
    </row>
    <row r="17">
      <c r="B17" t="inlineStr">
        <is>
          <t>Year</t>
        </is>
      </c>
      <c r="C17" t="inlineStr">
        <is>
          <t>Rfuel (PJ)</t>
        </is>
      </c>
      <c r="D17" t="inlineStr">
        <is>
          <t>Electricity (PJ)</t>
        </is>
      </c>
      <c r="E17" t="inlineStr">
        <is>
          <t>Gas (PJ)</t>
        </is>
      </c>
    </row>
    <row r="18">
      <c r="B18" t="n">
        <v>2025</v>
      </c>
      <c r="C18" t="n">
        <v>126.8</v>
      </c>
      <c r="D18" t="n">
        <v>33.2</v>
      </c>
      <c r="E18" t="n">
        <v>10.5</v>
      </c>
    </row>
    <row r="19">
      <c r="B19" t="n">
        <v>2030</v>
      </c>
      <c r="C19" t="n">
        <v>115.6</v>
      </c>
      <c r="D19" t="n">
        <v>33</v>
      </c>
      <c r="E19" t="n">
        <v>9.5</v>
      </c>
    </row>
    <row r="20">
      <c r="B20" t="n">
        <v>2035</v>
      </c>
      <c r="C20" t="n">
        <v>105.3</v>
      </c>
      <c r="D20" t="n">
        <v>33.1</v>
      </c>
      <c r="E20" t="n">
        <v>8.6</v>
      </c>
    </row>
    <row r="21">
      <c r="B21" t="n">
        <v>2040</v>
      </c>
      <c r="C21" t="n">
        <v>96.09999999999999</v>
      </c>
      <c r="D21" t="n">
        <v>33.4</v>
      </c>
      <c r="E21" t="n">
        <v>7.8</v>
      </c>
    </row>
    <row r="22">
      <c r="B22" t="n">
        <v>2045</v>
      </c>
      <c r="C22" t="n">
        <v>87.5</v>
      </c>
      <c r="D22" t="n">
        <v>33</v>
      </c>
      <c r="E22" t="n">
        <v>7.4</v>
      </c>
    </row>
    <row r="23">
      <c r="B23" t="n">
        <v>2050</v>
      </c>
      <c r="C23" t="n">
        <v>79.59999999999999</v>
      </c>
      <c r="D23" t="n">
        <v>33.1</v>
      </c>
      <c r="E23" t="n">
        <v>6.7</v>
      </c>
    </row>
    <row r="36">
      <c r="B36" s="5" t="inlineStr">
        <is>
          <t>SECTION 2: Emissions by Type (Conventional State)</t>
        </is>
      </c>
    </row>
    <row r="37">
      <c r="B37" s="9" t="inlineStr">
        <is>
          <t>Year</t>
        </is>
      </c>
      <c r="C37" s="9" t="inlineStr">
        <is>
          <t>Demand (kt)</t>
        </is>
      </c>
      <c r="D37" s="9" t="inlineStr">
        <is>
          <t>Energy CO2e (t/kt)</t>
        </is>
      </c>
      <c r="E37" s="9" t="inlineStr">
        <is>
          <t>Fugitive CO2e (t/kt)</t>
        </is>
      </c>
      <c r="F37" s="9" t="inlineStr">
        <is>
          <t>Energy (MtCO2e)</t>
        </is>
      </c>
      <c r="G37" s="9" t="inlineStr">
        <is>
          <t>Fugitive (MtCO2e)</t>
        </is>
      </c>
      <c r="H37" s="9" t="inlineStr">
        <is>
          <t>Total (MtCO2e)</t>
        </is>
      </c>
    </row>
    <row r="38">
      <c r="B38" s="10" t="n">
        <v>2025</v>
      </c>
      <c r="C38" s="11" t="n">
        <v>420000</v>
      </c>
      <c r="D38" s="12" t="n">
        <v>22</v>
      </c>
      <c r="E38" s="12" t="n">
        <v>69</v>
      </c>
      <c r="F38" s="20" t="n">
        <v>9.24</v>
      </c>
      <c r="G38" s="20" t="n">
        <v>28.98</v>
      </c>
      <c r="H38" s="21" t="n">
        <v>38.22</v>
      </c>
    </row>
    <row r="39">
      <c r="B39" s="14" t="n">
        <v>2030</v>
      </c>
      <c r="C39" s="15" t="n">
        <v>397403</v>
      </c>
      <c r="D39" s="16" t="n">
        <v>21.2</v>
      </c>
      <c r="E39" s="16" t="n">
        <v>63</v>
      </c>
      <c r="F39" s="22" t="n">
        <v>8.42</v>
      </c>
      <c r="G39" s="22" t="n">
        <v>25.04</v>
      </c>
      <c r="H39" s="20" t="n">
        <v>33.46</v>
      </c>
    </row>
    <row r="40">
      <c r="B40" s="10" t="n">
        <v>2035</v>
      </c>
      <c r="C40" s="11" t="n">
        <v>376021</v>
      </c>
      <c r="D40" s="12" t="n">
        <v>20.3</v>
      </c>
      <c r="E40" s="12" t="n">
        <v>57</v>
      </c>
      <c r="F40" s="20" t="n">
        <v>7.63</v>
      </c>
      <c r="G40" s="20" t="n">
        <v>21.43</v>
      </c>
      <c r="H40" s="20" t="n">
        <v>29.06</v>
      </c>
    </row>
    <row r="41">
      <c r="B41" s="14" t="n">
        <v>2040</v>
      </c>
      <c r="C41" s="15" t="n">
        <v>355797</v>
      </c>
      <c r="D41" s="16" t="n">
        <v>19.6</v>
      </c>
      <c r="E41" s="16" t="n">
        <v>52</v>
      </c>
      <c r="F41" s="22" t="n">
        <v>6.97</v>
      </c>
      <c r="G41" s="22" t="n">
        <v>18.5</v>
      </c>
      <c r="H41" s="20" t="n">
        <v>25.47</v>
      </c>
    </row>
    <row r="42">
      <c r="B42" s="10" t="n">
        <v>2045</v>
      </c>
      <c r="C42" s="11" t="n">
        <v>336649</v>
      </c>
      <c r="D42" s="12" t="n">
        <v>18.9</v>
      </c>
      <c r="E42" s="12" t="n">
        <v>47</v>
      </c>
      <c r="F42" s="20" t="n">
        <v>6.36</v>
      </c>
      <c r="G42" s="20" t="n">
        <v>15.82</v>
      </c>
      <c r="H42" s="20" t="n">
        <v>22.18</v>
      </c>
    </row>
    <row r="43">
      <c r="B43" s="14" t="n">
        <v>2050</v>
      </c>
      <c r="C43" s="15" t="n">
        <v>318541</v>
      </c>
      <c r="D43" s="16" t="n">
        <v>18.2</v>
      </c>
      <c r="E43" s="16" t="n">
        <v>43</v>
      </c>
      <c r="F43" s="22" t="n">
        <v>5.8</v>
      </c>
      <c r="G43" s="22" t="n">
        <v>13.7</v>
      </c>
      <c r="H43" s="20" t="n">
        <v>19.5</v>
      </c>
    </row>
    <row r="44">
      <c r="B44" s="17" t="inlineStr">
        <is>
          <t>NGGI 2022-23 ref</t>
        </is>
      </c>
      <c r="G44" s="23" t="n">
        <v>29</v>
      </c>
    </row>
    <row r="45">
      <c r="B45" s="19" t="inlineStr">
        <is>
          <t>Note: 69 tCO2e/kt fugitive is national average (incl. underground export). Open-cut domestic ≈ 15 tCO2e/kt. Phase 2: disaggregate.</t>
        </is>
      </c>
    </row>
    <row r="48">
      <c r="B48" t="inlineStr">
        <is>
          <t>Year</t>
        </is>
      </c>
      <c r="C48" t="inlineStr">
        <is>
          <t>Energy CO2e (MtCO2e)</t>
        </is>
      </c>
      <c r="D48" t="inlineStr">
        <is>
          <t>Fugitive CO2e (MtCO2e)</t>
        </is>
      </c>
    </row>
    <row r="49">
      <c r="B49" t="n">
        <v>2025</v>
      </c>
      <c r="C49" t="n">
        <v>9.24</v>
      </c>
      <c r="D49" t="n">
        <v>28.98</v>
      </c>
    </row>
    <row r="50">
      <c r="B50" t="n">
        <v>2030</v>
      </c>
      <c r="C50" t="n">
        <v>8.42</v>
      </c>
      <c r="D50" t="n">
        <v>25.04</v>
      </c>
    </row>
    <row r="51">
      <c r="B51" t="n">
        <v>2035</v>
      </c>
      <c r="C51" t="n">
        <v>7.63</v>
      </c>
      <c r="D51" t="n">
        <v>21.43</v>
      </c>
    </row>
    <row r="52">
      <c r="B52" t="n">
        <v>2040</v>
      </c>
      <c r="C52" t="n">
        <v>6.97</v>
      </c>
      <c r="D52" t="n">
        <v>18.5</v>
      </c>
    </row>
    <row r="53">
      <c r="B53" t="n">
        <v>2045</v>
      </c>
      <c r="C53" t="n">
        <v>6.36</v>
      </c>
      <c r="D53" t="n">
        <v>15.82</v>
      </c>
    </row>
    <row r="54">
      <c r="B54" t="n">
        <v>2050</v>
      </c>
      <c r="C54" t="n">
        <v>5.8</v>
      </c>
      <c r="D54" t="n">
        <v>13.7</v>
      </c>
    </row>
  </sheetData>
  <mergeCells count="6">
    <mergeCell ref="B14:J14"/>
    <mergeCell ref="B3:I3"/>
    <mergeCell ref="B36:I36"/>
    <mergeCell ref="B5:I5"/>
    <mergeCell ref="B45:I45"/>
    <mergeCell ref="B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B1:F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34" customWidth="1" min="3" max="3"/>
    <col width="22" customWidth="1" min="4" max="4"/>
  </cols>
  <sheetData>
    <row r="1">
      <c r="B1" s="7" t="inlineStr">
        <is>
          <t>AES 174 PJ Calibration — Step-by-Step Derivation (Total Production Basis)</t>
        </is>
      </c>
    </row>
    <row r="3">
      <c r="B3" s="9" t="inlineStr">
        <is>
          <t>Step</t>
        </is>
      </c>
      <c r="C3" s="9" t="inlineStr">
        <is>
          <t>Description</t>
        </is>
      </c>
      <c r="D3" s="9" t="inlineStr">
        <is>
          <t>Value / Calculation</t>
        </is>
      </c>
    </row>
    <row r="4">
      <c r="B4" s="24" t="inlineStr">
        <is>
          <t>AES source</t>
        </is>
      </c>
      <c r="C4" s="25" t="inlineStr">
        <is>
          <t>AES 2023-24 Table F — Total final energy, coal mining (ANZSIC 06100+06200)</t>
        </is>
      </c>
      <c r="D4" s="25" t="inlineStr">
        <is>
          <t>174 PJ</t>
        </is>
      </c>
    </row>
    <row r="5">
      <c r="B5" s="26" t="inlineStr">
        <is>
          <t>Total production</t>
        </is>
      </c>
      <c r="C5" s="27" t="inlineStr">
        <is>
          <t>Geoscience Australia 2023-24 — total raw coal output</t>
        </is>
      </c>
      <c r="D5" s="27" t="inlineStr">
        <is>
          <t>420,000 kt</t>
        </is>
      </c>
    </row>
    <row r="6">
      <c r="B6" s="24" t="inlineStr">
        <is>
          <t>National avg intensity</t>
        </is>
      </c>
      <c r="C6" s="25" t="inlineStr">
        <is>
          <t>174 PJ ÷ 420,000 kt × 1,000,000 GJ/PJ</t>
        </is>
      </c>
      <c r="D6" s="25" t="inlineStr">
        <is>
          <t>414 GJ/kt</t>
        </is>
      </c>
    </row>
    <row r="7">
      <c r="B7" s="26" t="inlineStr">
        <is>
          <t>Coverage adjustment</t>
        </is>
      </c>
      <c r="C7" s="27" t="inlineStr">
        <is>
          <t>~98% covered by 3 commodities (2% LPG/biomass excluded)</t>
        </is>
      </c>
      <c r="D7" s="27" t="inlineStr">
        <is>
          <t>406 GJ/kt modelled</t>
        </is>
      </c>
    </row>
    <row r="8">
      <c r="B8" s="24" t="inlineStr">
        <is>
          <t>Fuel split — rfuel 73%</t>
        </is>
      </c>
      <c r="C8" s="25" t="inlineStr">
        <is>
          <t>0.73 × 406 GJ/kt</t>
        </is>
      </c>
      <c r="D8" s="25" t="inlineStr">
        <is>
          <t>302 GJ/kt</t>
        </is>
      </c>
    </row>
    <row r="9">
      <c r="B9" s="26" t="inlineStr">
        <is>
          <t>Fuel split — electricity 19%</t>
        </is>
      </c>
      <c r="C9" s="27" t="inlineStr">
        <is>
          <t>0.19 × 406 GJ/kt</t>
        </is>
      </c>
      <c r="D9" s="27" t="inlineStr">
        <is>
          <t>79 GJ/kt</t>
        </is>
      </c>
    </row>
    <row r="10">
      <c r="B10" s="24" t="inlineStr">
        <is>
          <t>Fuel split — gas 6%</t>
        </is>
      </c>
      <c r="C10" s="25" t="inlineStr">
        <is>
          <t>0.06 × 406 GJ/kt</t>
        </is>
      </c>
      <c r="D10" s="25" t="inlineStr">
        <is>
          <t>25 GJ/kt</t>
        </is>
      </c>
    </row>
    <row r="11">
      <c r="B11" s="26" t="inlineStr">
        <is>
          <t>Sum check</t>
        </is>
      </c>
      <c r="C11" s="27" t="inlineStr">
        <is>
          <t>302 + 79 + 25</t>
        </is>
      </c>
      <c r="D11" s="28" t="inlineStr">
        <is>
          <t>406 GJ/kt ✓</t>
        </is>
      </c>
    </row>
    <row r="12">
      <c r="B12" s="24" t="inlineStr">
        <is>
          <t>Total energy (modelled)</t>
        </is>
      </c>
      <c r="C12" s="25" t="inlineStr">
        <is>
          <t>406 GJ/kt × 420,000 kt ÷ 1,000,000</t>
        </is>
      </c>
      <c r="D12" s="25" t="inlineStr">
        <is>
          <t>170.5 PJ</t>
        </is>
      </c>
    </row>
    <row r="13">
      <c r="B13" s="26" t="inlineStr">
        <is>
          <t>AES coverage</t>
        </is>
      </c>
      <c r="C13" s="27" t="inlineStr">
        <is>
          <t>170.5 ÷ 174.0</t>
        </is>
      </c>
      <c r="D13" s="28" t="inlineStr">
        <is>
          <t>98.0% ✓</t>
        </is>
      </c>
    </row>
    <row r="14">
      <c r="B14" s="24" t="inlineStr">
        <is>
          <t>Fugitive coefficient</t>
        </is>
      </c>
      <c r="C14" s="25" t="inlineStr">
        <is>
          <t>29 MtCO2e (NGGI) ÷ 420,000 kt × 1,000</t>
        </is>
      </c>
      <c r="D14" s="25" t="inlineStr">
        <is>
          <t>69.0 tCO2e/kt</t>
        </is>
      </c>
    </row>
    <row r="15">
      <c r="B15" s="26" t="inlineStr">
        <is>
          <t>Fugitive check</t>
        </is>
      </c>
      <c r="C15" s="27" t="inlineStr">
        <is>
          <t>69.0 tCO2e/kt × 420,000 kt ÷ 10⁶</t>
        </is>
      </c>
      <c r="D15" s="28" t="inlineStr">
        <is>
          <t>28.98 MtCO2e ≈ 29 MtCO2e ✓</t>
        </is>
      </c>
    </row>
    <row r="18">
      <c r="B18" s="5" t="inlineStr">
        <is>
          <t>2025 Commodity Coefficients — Conventional State</t>
        </is>
      </c>
    </row>
    <row r="19">
      <c r="B19" s="9" t="inlineStr">
        <is>
          <t>Commodity</t>
        </is>
      </c>
      <c r="C19" s="9" t="inlineStr">
        <is>
          <t>Coefficient (GJ/kt)</t>
        </is>
      </c>
      <c r="D19" s="9" t="inlineStr">
        <is>
          <t>Share (%)</t>
        </is>
      </c>
      <c r="E19" s="9" t="inlineStr">
        <is>
          <t>EF (kgCO2e/GJ)</t>
        </is>
      </c>
      <c r="F19" s="9" t="inlineStr">
        <is>
          <t>CO2e (tCO2e/kt)</t>
        </is>
      </c>
    </row>
    <row r="20">
      <c r="B20" s="25" t="inlineStr">
        <is>
          <t>Refined liquid fuels</t>
        </is>
      </c>
      <c r="C20" s="10" t="n">
        <v>302</v>
      </c>
      <c r="D20" s="25" t="inlineStr">
        <is>
          <t>74%</t>
        </is>
      </c>
      <c r="E20" s="10" t="n">
        <v>68.40000000000001</v>
      </c>
      <c r="F20" s="10" t="n">
        <v>20.7</v>
      </c>
    </row>
    <row r="21">
      <c r="B21" s="27" t="inlineStr">
        <is>
          <t>Electricity</t>
        </is>
      </c>
      <c r="C21" s="14" t="n">
        <v>79</v>
      </c>
      <c r="D21" s="27" t="inlineStr">
        <is>
          <t>19%</t>
        </is>
      </c>
      <c r="E21" s="27" t="inlineStr">
        <is>
          <t>Scope 2 — excluded</t>
        </is>
      </c>
      <c r="F21" s="27" t="inlineStr">
        <is>
          <t>—</t>
        </is>
      </c>
    </row>
    <row r="22">
      <c r="B22" s="25" t="inlineStr">
        <is>
          <t>Natural gas</t>
        </is>
      </c>
      <c r="C22" s="10" t="n">
        <v>25</v>
      </c>
      <c r="D22" s="25" t="inlineStr">
        <is>
          <t>6%</t>
        </is>
      </c>
      <c r="E22" s="10" t="n">
        <v>51.4</v>
      </c>
      <c r="F22" s="10" t="n">
        <v>1.3</v>
      </c>
    </row>
    <row r="23">
      <c r="B23" s="27" t="inlineStr">
        <is>
          <t>Unmodelled (LPG/biomass)</t>
        </is>
      </c>
      <c r="C23" s="14" t="n">
        <v>8</v>
      </c>
      <c r="D23" s="27" t="inlineStr">
        <is>
          <t>2%</t>
        </is>
      </c>
      <c r="E23" s="27" t="inlineStr">
        <is>
          <t>Excluded</t>
        </is>
      </c>
      <c r="F23" s="27" t="inlineStr">
        <is>
          <t>—</t>
        </is>
      </c>
    </row>
    <row r="24">
      <c r="B24" s="24" t="inlineStr">
        <is>
          <t>TOTAL</t>
        </is>
      </c>
      <c r="C24" s="29" t="n">
        <v>414</v>
      </c>
      <c r="D24" s="24" t="inlineStr">
        <is>
          <t>100%</t>
        </is>
      </c>
      <c r="E24" s="24" t="inlineStr">
        <is>
          <t>—</t>
        </is>
      </c>
      <c r="F24" s="24" t="inlineStr">
        <is>
          <t>22.0 (energy CO2e)</t>
        </is>
      </c>
    </row>
    <row r="27">
      <c r="B27" s="5" t="inlineStr">
        <is>
          <t>Fugitive Methane Calibration (NGGI 2022-23 Cat 1B1a)</t>
        </is>
      </c>
    </row>
    <row r="28">
      <c r="B28" s="9" t="inlineStr">
        <is>
          <t>Item</t>
        </is>
      </c>
      <c r="C28" s="9" t="inlineStr">
        <is>
          <t>Value</t>
        </is>
      </c>
      <c r="D28" s="9" t="inlineStr">
        <is>
          <t>Source</t>
        </is>
      </c>
    </row>
    <row r="29">
      <c r="B29" s="25" t="inlineStr">
        <is>
          <t>NGGI 2022-23 Cat 1B1a total</t>
        </is>
      </c>
      <c r="C29" s="25" t="inlineStr">
        <is>
          <t>~29 MtCO2e</t>
        </is>
      </c>
      <c r="D29" s="25" t="inlineStr">
        <is>
          <t>NGGI 2022-23</t>
        </is>
      </c>
    </row>
    <row r="30">
      <c r="B30" s="27" t="inlineStr">
        <is>
          <t>Total production</t>
        </is>
      </c>
      <c r="C30" s="27" t="inlineStr">
        <is>
          <t>420,000 kt</t>
        </is>
      </c>
      <c r="D30" s="27" t="inlineStr">
        <is>
          <t>Geoscience Australia 2023-24</t>
        </is>
      </c>
    </row>
    <row r="31">
      <c r="B31" s="25" t="inlineStr">
        <is>
          <t>Per-kt fugitive (national avg)</t>
        </is>
      </c>
      <c r="C31" s="25" t="inlineStr">
        <is>
          <t>69 tCO2e/kt</t>
        </is>
      </c>
      <c r="D31" s="25" t="inlineStr">
        <is>
          <t>29 Mt ÷ 420,000 kt × 1,000</t>
        </is>
      </c>
    </row>
    <row r="32">
      <c r="B32" s="27" t="inlineStr">
        <is>
          <t>Open-cut fugitive (typical)</t>
        </is>
      </c>
      <c r="C32" s="27" t="inlineStr">
        <is>
          <t>~15 tCO2e/kt</t>
        </is>
      </c>
      <c r="D32" s="27" t="inlineStr">
        <is>
          <t>Literature / NGER reports</t>
        </is>
      </c>
    </row>
    <row r="33">
      <c r="B33" s="25" t="inlineStr">
        <is>
          <t>Underground fugitive (typical)</t>
        </is>
      </c>
      <c r="C33" s="25" t="inlineStr">
        <is>
          <t>~100-200 tCO2e/kt</t>
        </is>
      </c>
      <c r="D33" s="25" t="inlineStr">
        <is>
          <t>Literature / NGER reports</t>
        </is>
      </c>
    </row>
    <row r="34">
      <c r="B34" s="27" t="inlineStr">
        <is>
          <t>Phase 1 value used</t>
        </is>
      </c>
      <c r="C34" s="27" t="inlineStr">
        <is>
          <t>69 tCO2e/kt (national avg)</t>
        </is>
      </c>
      <c r="D34" s="27" t="inlineStr">
        <is>
          <t>Conservative — dominated by underground</t>
        </is>
      </c>
    </row>
    <row r="35">
      <c r="B35" s="25" t="inlineStr">
        <is>
          <t>Phase 2 target</t>
        </is>
      </c>
      <c r="C35" s="25" t="inlineStr">
        <is>
          <t>Disaggregate by mine type</t>
        </is>
      </c>
      <c r="D35" s="25" t="inlineStr">
        <is>
          <t>Open-cut vs underground via NGER data</t>
        </is>
      </c>
    </row>
  </sheetData>
  <mergeCells count="1">
    <mergeCell ref="B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B1:F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20" customWidth="1" min="4" max="4"/>
    <col width="20" customWidth="1" min="5" max="5"/>
  </cols>
  <sheetData>
    <row r="1">
      <c r="B1" s="7" t="inlineStr">
        <is>
          <t>Total Australian Coal Production — Volume, Energy and Emissions (2025 Baseline)</t>
        </is>
      </c>
    </row>
    <row r="3">
      <c r="B3" s="19" t="inlineStr">
        <is>
          <t>Production basis: 420,000 kt total (export 330,000 kt + domestic 90,000 kt). Per-kt coefficients are national averages applied to total production — no domestic/export split is required as AES/NGGI data is not disaggregated by market destination.</t>
        </is>
      </c>
    </row>
    <row r="5">
      <c r="B5" s="9" t="inlineStr">
        <is>
          <t>Component</t>
        </is>
      </c>
      <c r="C5" s="9" t="inlineStr">
        <is>
          <t>Volume (kt)</t>
        </is>
      </c>
      <c r="D5" s="9" t="inlineStr">
        <is>
          <t>Share (%)</t>
        </is>
      </c>
      <c r="E5" s="9" t="inlineStr">
        <is>
          <t>Energy (PJ)</t>
        </is>
      </c>
      <c r="F5" s="9" t="inlineStr">
        <is>
          <t>Fugitive CO2e (MtCO2e)</t>
        </is>
      </c>
    </row>
    <row r="6">
      <c r="B6" s="25" t="inlineStr">
        <is>
          <t>Export coal (approx.)</t>
        </is>
      </c>
      <c r="C6" s="11" t="n">
        <v>330000</v>
      </c>
      <c r="D6" s="25" t="inlineStr">
        <is>
          <t>79%</t>
        </is>
      </c>
      <c r="E6" s="10" t="n">
        <v>134</v>
      </c>
      <c r="F6" s="10" t="n">
        <v>22.77</v>
      </c>
    </row>
    <row r="7">
      <c r="B7" s="27" t="inlineStr">
        <is>
          <t>Domestic coal (approx.)</t>
        </is>
      </c>
      <c r="C7" s="15" t="n">
        <v>90000</v>
      </c>
      <c r="D7" s="27" t="inlineStr">
        <is>
          <t>21%</t>
        </is>
      </c>
      <c r="E7" s="14" t="n">
        <v>36.5</v>
      </c>
      <c r="F7" s="14" t="n">
        <v>6.21</v>
      </c>
    </row>
    <row r="8">
      <c r="B8" s="24" t="inlineStr">
        <is>
          <t>TOTAL (model anchor)</t>
        </is>
      </c>
      <c r="C8" s="30" t="n">
        <v>420000</v>
      </c>
      <c r="D8" s="24" t="inlineStr">
        <is>
          <t>100%</t>
        </is>
      </c>
      <c r="E8" s="29" t="n">
        <v>170.5</v>
      </c>
      <c r="F8" s="29" t="n">
        <v>28.98</v>
      </c>
    </row>
    <row r="11">
      <c r="B11" s="5" t="inlineStr">
        <is>
          <t>Benchmark comparisons (2025)</t>
        </is>
      </c>
    </row>
    <row r="12">
      <c r="B12" s="9" t="inlineStr">
        <is>
          <t>Metric</t>
        </is>
      </c>
      <c r="C12" s="9" t="inlineStr">
        <is>
          <t>Modelled</t>
        </is>
      </c>
      <c r="D12" s="9" t="inlineStr">
        <is>
          <t>Reference</t>
        </is>
      </c>
      <c r="E12" s="9" t="inlineStr">
        <is>
          <t>Coverage %</t>
        </is>
      </c>
    </row>
    <row r="13">
      <c r="B13" s="25" t="inlineStr">
        <is>
          <t>Total energy (PJ)</t>
        </is>
      </c>
      <c r="C13" s="25" t="inlineStr">
        <is>
          <t>170.5 PJ</t>
        </is>
      </c>
      <c r="D13" s="25" t="inlineStr">
        <is>
          <t>AES 174 PJ</t>
        </is>
      </c>
      <c r="E13" s="28" t="inlineStr">
        <is>
          <t>98.0% ✓</t>
        </is>
      </c>
    </row>
    <row r="14">
      <c r="B14" s="27" t="inlineStr">
        <is>
          <t>Fugitive CO2e (MtCO2e)</t>
        </is>
      </c>
      <c r="C14" s="27" t="inlineStr">
        <is>
          <t>29.0 MtCO2e</t>
        </is>
      </c>
      <c r="D14" s="27" t="inlineStr">
        <is>
          <t>NGGI 29 MtCO2e</t>
        </is>
      </c>
      <c r="E14" s="28" t="inlineStr">
        <is>
          <t>99.9% ✓</t>
        </is>
      </c>
    </row>
    <row r="15">
      <c r="B15" s="25" t="inlineStr">
        <is>
          <t>Total production (kt)</t>
        </is>
      </c>
      <c r="C15" s="25" t="inlineStr">
        <is>
          <t>420,000 kt</t>
        </is>
      </c>
      <c r="D15" s="25" t="inlineStr">
        <is>
          <t>GA 420,000 kt</t>
        </is>
      </c>
      <c r="E15" s="28" t="inlineStr">
        <is>
          <t>100% ✓</t>
        </is>
      </c>
    </row>
    <row r="16">
      <c r="B16" s="27" t="inlineStr">
        <is>
          <t>Energy intensity (GJ/kt)</t>
        </is>
      </c>
      <c r="C16" s="27" t="inlineStr">
        <is>
          <t>406 GJ/kt</t>
        </is>
      </c>
      <c r="D16" s="27" t="inlineStr">
        <is>
          <t>AES 414 GJ/kt (gross)</t>
        </is>
      </c>
      <c r="E16" s="27" t="inlineStr">
        <is>
          <t>98.0% (coverage adj.)</t>
        </is>
      </c>
    </row>
    <row r="18">
      <c r="B18" s="19" t="inlineStr">
        <is>
          <t>Note: Per-kt coefficients are applied uniformly to total production. Mine-type disaggregation (open-cut vs underground) is a Phase 2 improvement.</t>
        </is>
      </c>
    </row>
  </sheetData>
  <mergeCells count="3">
    <mergeCell ref="B18:E18"/>
    <mergeCell ref="B1:E1"/>
    <mergeCell ref="B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B1:H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B1" s="7" t="inlineStr">
        <is>
          <t>Coal Mining — Technology State Assumptions (5 States × 6 Years)</t>
        </is>
      </c>
    </row>
    <row r="3">
      <c r="B3" s="5" t="inlineStr">
        <is>
          <t>Specific Energy Intensity (GJ/kt)</t>
        </is>
      </c>
    </row>
    <row r="4">
      <c r="B4" s="9" t="inlineStr">
        <is>
          <t>State</t>
        </is>
      </c>
      <c r="C4" s="9" t="inlineStr">
        <is>
          <t>2025</t>
        </is>
      </c>
      <c r="D4" s="9" t="inlineStr">
        <is>
          <t>2030</t>
        </is>
      </c>
      <c r="E4" s="9" t="inlineStr">
        <is>
          <t>2035</t>
        </is>
      </c>
      <c r="F4" s="9" t="inlineStr">
        <is>
          <t>2040</t>
        </is>
      </c>
      <c r="G4" s="9" t="inlineStr">
        <is>
          <t>2045</t>
        </is>
      </c>
      <c r="H4" s="9" t="inlineStr">
        <is>
          <t>2050</t>
        </is>
      </c>
    </row>
    <row r="5">
      <c r="B5" s="24" t="inlineStr">
        <is>
          <t>Conventional</t>
        </is>
      </c>
      <c r="C5" s="11" t="n">
        <v>406</v>
      </c>
      <c r="D5" s="11" t="n">
        <v>398</v>
      </c>
      <c r="E5" s="11" t="n">
        <v>391</v>
      </c>
      <c r="F5" s="11" t="n">
        <v>386</v>
      </c>
      <c r="G5" s="11" t="n">
        <v>380</v>
      </c>
      <c r="H5" s="11" t="n">
        <v>375</v>
      </c>
    </row>
    <row r="6">
      <c r="B6" s="26" t="inlineStr">
        <is>
          <t>BEV haulage</t>
        </is>
      </c>
      <c r="C6" s="15" t="n">
        <v>292</v>
      </c>
      <c r="D6" s="15" t="n">
        <v>278</v>
      </c>
      <c r="E6" s="15" t="n">
        <v>266</v>
      </c>
      <c r="F6" s="15" t="n">
        <v>259</v>
      </c>
      <c r="G6" s="15" t="n">
        <v>255</v>
      </c>
      <c r="H6" s="15" t="n">
        <v>251</v>
      </c>
    </row>
    <row r="7">
      <c r="B7" s="24" t="inlineStr">
        <is>
          <t>Hydrogen FCEV</t>
        </is>
      </c>
      <c r="C7" s="11" t="n">
        <v>320</v>
      </c>
      <c r="D7" s="11" t="n">
        <v>303</v>
      </c>
      <c r="E7" s="11" t="n">
        <v>289</v>
      </c>
      <c r="F7" s="11" t="n">
        <v>281</v>
      </c>
      <c r="G7" s="11" t="n">
        <v>277</v>
      </c>
      <c r="H7" s="11" t="n">
        <v>274</v>
      </c>
    </row>
    <row r="8">
      <c r="B8" s="26" t="inlineStr">
        <is>
          <t>Low-fugitive</t>
        </is>
      </c>
      <c r="C8" s="15" t="n">
        <v>414</v>
      </c>
      <c r="D8" s="15" t="n">
        <v>406</v>
      </c>
      <c r="E8" s="15" t="n">
        <v>399</v>
      </c>
      <c r="F8" s="15" t="n">
        <v>394</v>
      </c>
      <c r="G8" s="15" t="n">
        <v>388</v>
      </c>
      <c r="H8" s="15" t="n">
        <v>383</v>
      </c>
    </row>
    <row r="9">
      <c r="B9" s="24" t="inlineStr">
        <is>
          <t>Integrated low-carbon</t>
        </is>
      </c>
      <c r="C9" s="11" t="n">
        <v>286</v>
      </c>
      <c r="D9" s="11" t="n">
        <v>267</v>
      </c>
      <c r="E9" s="11" t="n">
        <v>253</v>
      </c>
      <c r="F9" s="11" t="n">
        <v>242</v>
      </c>
      <c r="G9" s="11" t="n">
        <v>232</v>
      </c>
      <c r="H9" s="11" t="n">
        <v>223</v>
      </c>
    </row>
    <row r="12">
      <c r="B12" s="5" t="inlineStr">
        <is>
          <t>Refined Liquid Fuels Coefficient (GJ/kt)</t>
        </is>
      </c>
    </row>
    <row r="13">
      <c r="B13" s="9" t="inlineStr">
        <is>
          <t>State</t>
        </is>
      </c>
      <c r="C13" s="9" t="inlineStr">
        <is>
          <t>2025</t>
        </is>
      </c>
      <c r="D13" s="9" t="inlineStr">
        <is>
          <t>2030</t>
        </is>
      </c>
      <c r="E13" s="9" t="inlineStr">
        <is>
          <t>2035</t>
        </is>
      </c>
      <c r="F13" s="9" t="inlineStr">
        <is>
          <t>2040</t>
        </is>
      </c>
      <c r="G13" s="9" t="inlineStr">
        <is>
          <t>2045</t>
        </is>
      </c>
      <c r="H13" s="9" t="inlineStr">
        <is>
          <t>2050</t>
        </is>
      </c>
    </row>
    <row r="14">
      <c r="B14" s="24" t="inlineStr">
        <is>
          <t>Conventional</t>
        </is>
      </c>
      <c r="C14" s="11" t="n">
        <v>302</v>
      </c>
      <c r="D14" s="11" t="n">
        <v>291</v>
      </c>
      <c r="E14" s="11" t="n">
        <v>280</v>
      </c>
      <c r="F14" s="11" t="n">
        <v>270</v>
      </c>
      <c r="G14" s="11" t="n">
        <v>260</v>
      </c>
      <c r="H14" s="11" t="n">
        <v>250</v>
      </c>
    </row>
    <row r="15">
      <c r="B15" s="26" t="inlineStr">
        <is>
          <t>BEV haulage</t>
        </is>
      </c>
      <c r="C15" s="15" t="n">
        <v>136</v>
      </c>
      <c r="D15" s="15" t="n">
        <v>115</v>
      </c>
      <c r="E15" s="15" t="n">
        <v>98</v>
      </c>
      <c r="F15" s="15" t="n">
        <v>87</v>
      </c>
      <c r="G15" s="15" t="n">
        <v>80</v>
      </c>
      <c r="H15" s="15" t="n">
        <v>75</v>
      </c>
    </row>
    <row r="16">
      <c r="B16" s="24" t="inlineStr">
        <is>
          <t>Hydrogen FCEV</t>
        </is>
      </c>
      <c r="C16" s="11" t="n">
        <v>136</v>
      </c>
      <c r="D16" s="11" t="n">
        <v>115</v>
      </c>
      <c r="E16" s="11" t="n">
        <v>98</v>
      </c>
      <c r="F16" s="11" t="n">
        <v>87</v>
      </c>
      <c r="G16" s="11" t="n">
        <v>80</v>
      </c>
      <c r="H16" s="11" t="n">
        <v>75</v>
      </c>
    </row>
    <row r="17">
      <c r="B17" s="26" t="inlineStr">
        <is>
          <t>Low-fugitive</t>
        </is>
      </c>
      <c r="C17" s="15" t="n">
        <v>302</v>
      </c>
      <c r="D17" s="15" t="n">
        <v>291</v>
      </c>
      <c r="E17" s="15" t="n">
        <v>280</v>
      </c>
      <c r="F17" s="15" t="n">
        <v>270</v>
      </c>
      <c r="G17" s="15" t="n">
        <v>260</v>
      </c>
      <c r="H17" s="15" t="n">
        <v>250</v>
      </c>
    </row>
    <row r="18">
      <c r="B18" s="24" t="inlineStr">
        <is>
          <t>Integrated lc</t>
        </is>
      </c>
      <c r="C18" s="11" t="n">
        <v>110</v>
      </c>
      <c r="D18" s="11" t="n">
        <v>88</v>
      </c>
      <c r="E18" s="11" t="n">
        <v>72</v>
      </c>
      <c r="F18" s="11" t="n">
        <v>60</v>
      </c>
      <c r="G18" s="11" t="n">
        <v>50</v>
      </c>
      <c r="H18" s="11" t="n">
        <v>40</v>
      </c>
    </row>
    <row r="21">
      <c r="B21" s="5" t="inlineStr">
        <is>
          <t>Fugitive Process CO2e (tCO2e/kt)</t>
        </is>
      </c>
    </row>
    <row r="22">
      <c r="B22" s="9" t="inlineStr">
        <is>
          <t>State</t>
        </is>
      </c>
      <c r="C22" s="9" t="inlineStr">
        <is>
          <t>2025</t>
        </is>
      </c>
      <c r="D22" s="9" t="inlineStr">
        <is>
          <t>2030</t>
        </is>
      </c>
      <c r="E22" s="9" t="inlineStr">
        <is>
          <t>2035</t>
        </is>
      </c>
      <c r="F22" s="9" t="inlineStr">
        <is>
          <t>2040</t>
        </is>
      </c>
      <c r="G22" s="9" t="inlineStr">
        <is>
          <t>2045</t>
        </is>
      </c>
      <c r="H22" s="9" t="inlineStr">
        <is>
          <t>2050</t>
        </is>
      </c>
    </row>
    <row r="23">
      <c r="B23" s="24" t="inlineStr">
        <is>
          <t>Conventional</t>
        </is>
      </c>
      <c r="C23" s="12" t="n">
        <v>69</v>
      </c>
      <c r="D23" s="12" t="n">
        <v>63</v>
      </c>
      <c r="E23" s="12" t="n">
        <v>57</v>
      </c>
      <c r="F23" s="12" t="n">
        <v>52</v>
      </c>
      <c r="G23" s="12" t="n">
        <v>47</v>
      </c>
      <c r="H23" s="12" t="n">
        <v>43</v>
      </c>
    </row>
    <row r="24">
      <c r="B24" s="26" t="inlineStr">
        <is>
          <t>BEV haulage</t>
        </is>
      </c>
      <c r="C24" s="16" t="n">
        <v>69</v>
      </c>
      <c r="D24" s="16" t="n">
        <v>63</v>
      </c>
      <c r="E24" s="16" t="n">
        <v>57</v>
      </c>
      <c r="F24" s="16" t="n">
        <v>52</v>
      </c>
      <c r="G24" s="16" t="n">
        <v>47</v>
      </c>
      <c r="H24" s="16" t="n">
        <v>43</v>
      </c>
    </row>
    <row r="25">
      <c r="B25" s="24" t="inlineStr">
        <is>
          <t>Hydrogen FCEV</t>
        </is>
      </c>
      <c r="C25" s="12" t="n">
        <v>69</v>
      </c>
      <c r="D25" s="12" t="n">
        <v>63</v>
      </c>
      <c r="E25" s="12" t="n">
        <v>57</v>
      </c>
      <c r="F25" s="12" t="n">
        <v>52</v>
      </c>
      <c r="G25" s="12" t="n">
        <v>47</v>
      </c>
      <c r="H25" s="12" t="n">
        <v>43</v>
      </c>
    </row>
    <row r="26">
      <c r="B26" s="26" t="inlineStr">
        <is>
          <t>Low-fugitive</t>
        </is>
      </c>
      <c r="C26" s="16" t="n">
        <v>34.5</v>
      </c>
      <c r="D26" s="16" t="n">
        <v>27</v>
      </c>
      <c r="E26" s="16" t="n">
        <v>21</v>
      </c>
      <c r="F26" s="16" t="n">
        <v>16</v>
      </c>
      <c r="G26" s="16" t="n">
        <v>12.5</v>
      </c>
      <c r="H26" s="16" t="n">
        <v>10</v>
      </c>
    </row>
    <row r="27">
      <c r="B27" s="24" t="inlineStr">
        <is>
          <t>Integrated low-carbon</t>
        </is>
      </c>
      <c r="C27" s="12" t="n">
        <v>28</v>
      </c>
      <c r="D27" s="12" t="n">
        <v>19.5</v>
      </c>
      <c r="E27" s="12" t="n">
        <v>13.5</v>
      </c>
      <c r="F27" s="12" t="n">
        <v>9.5</v>
      </c>
      <c r="G27" s="12" t="n">
        <v>7</v>
      </c>
      <c r="H27" s="12" t="n">
        <v>5.5</v>
      </c>
    </row>
  </sheetData>
  <mergeCells count="1">
    <mergeCell ref="B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B1:G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18" customWidth="1" min="4" max="4"/>
    <col width="20" customWidth="1" min="5" max="5"/>
    <col width="22" customWidth="1" min="6" max="6"/>
    <col width="22" customWidth="1" min="7" max="7"/>
  </cols>
  <sheetData>
    <row r="1">
      <c r="B1" s="7" t="inlineStr">
        <is>
          <t>Total Coal Demand Trajectory (declining__coal_mining_total, −1.1%/yr)</t>
        </is>
      </c>
    </row>
    <row r="3">
      <c r="B3" s="9" t="inlineStr">
        <is>
          <t>Year</t>
        </is>
      </c>
      <c r="C3" s="9" t="inlineStr">
        <is>
          <t>Demand (kt)</t>
        </is>
      </c>
      <c r="D3" s="9" t="inlineStr">
        <is>
          <t>Index (2025=1.00)</t>
        </is>
      </c>
      <c r="E3" s="9" t="inlineStr">
        <is>
          <t>Energy PJ (conv)</t>
        </is>
      </c>
      <c r="F3" s="9" t="inlineStr">
        <is>
          <t>Energy CO2e (MtCO2e)</t>
        </is>
      </c>
      <c r="G3" s="9" t="inlineStr">
        <is>
          <t>Fugitive CO2e (MtCO2e)</t>
        </is>
      </c>
    </row>
    <row r="4">
      <c r="B4" s="10" t="n">
        <v>2025</v>
      </c>
      <c r="C4" s="11" t="n">
        <v>420000</v>
      </c>
      <c r="D4" s="31" t="n">
        <v>1</v>
      </c>
      <c r="E4" s="12" t="n">
        <v>170.5</v>
      </c>
      <c r="F4" s="20" t="n">
        <v>9.24</v>
      </c>
      <c r="G4" s="20" t="n">
        <v>28.98</v>
      </c>
    </row>
    <row r="5">
      <c r="B5" s="14" t="n">
        <v>2030</v>
      </c>
      <c r="C5" s="15" t="n">
        <v>397403</v>
      </c>
      <c r="D5" s="32" t="n">
        <v>0.9462</v>
      </c>
      <c r="E5" s="16" t="n">
        <v>161.3</v>
      </c>
      <c r="F5" s="22" t="n">
        <v>8.74</v>
      </c>
      <c r="G5" s="22" t="n">
        <v>27.42</v>
      </c>
    </row>
    <row r="6">
      <c r="B6" s="10" t="n">
        <v>2035</v>
      </c>
      <c r="C6" s="11" t="n">
        <v>376021</v>
      </c>
      <c r="D6" s="31" t="n">
        <v>0.8953</v>
      </c>
      <c r="E6" s="12" t="n">
        <v>152.7</v>
      </c>
      <c r="F6" s="20" t="n">
        <v>8.27</v>
      </c>
      <c r="G6" s="20" t="n">
        <v>25.95</v>
      </c>
    </row>
    <row r="7">
      <c r="B7" s="14" t="n">
        <v>2040</v>
      </c>
      <c r="C7" s="15" t="n">
        <v>355797</v>
      </c>
      <c r="D7" s="32" t="n">
        <v>0.8471</v>
      </c>
      <c r="E7" s="16" t="n">
        <v>144.5</v>
      </c>
      <c r="F7" s="22" t="n">
        <v>7.83</v>
      </c>
      <c r="G7" s="22" t="n">
        <v>24.55</v>
      </c>
    </row>
    <row r="8">
      <c r="B8" s="10" t="n">
        <v>2045</v>
      </c>
      <c r="C8" s="11" t="n">
        <v>336649</v>
      </c>
      <c r="D8" s="31" t="n">
        <v>0.8015</v>
      </c>
      <c r="E8" s="12" t="n">
        <v>136.7</v>
      </c>
      <c r="F8" s="20" t="n">
        <v>7.41</v>
      </c>
      <c r="G8" s="20" t="n">
        <v>23.23</v>
      </c>
    </row>
    <row r="9">
      <c r="B9" s="14" t="n">
        <v>2050</v>
      </c>
      <c r="C9" s="15" t="n">
        <v>318541</v>
      </c>
      <c r="D9" s="32" t="n">
        <v>0.7584</v>
      </c>
      <c r="E9" s="16" t="n">
        <v>129.3</v>
      </c>
      <c r="F9" s="22" t="n">
        <v>7.01</v>
      </c>
      <c r="G9" s="22" t="n">
        <v>21.98</v>
      </c>
    </row>
    <row r="11">
      <c r="B11" s="19" t="inlineStr">
        <is>
          <t>Curve: declining__coal_mining_total | Anchor: 420,000 kt (2025) | Rate: −1.1%/yr compound | = weighted avg of export −0.75%/yr + domestic −2.5%/yr</t>
        </is>
      </c>
    </row>
  </sheetData>
  <mergeCells count="2">
    <mergeCell ref="B11:G11"/>
    <mergeCell ref="B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B1:H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B1" s="7" t="inlineStr">
        <is>
          <t>Total Coal Mining — Emissions by Pathway State (MtCO2e/yr)</t>
        </is>
      </c>
    </row>
    <row r="3">
      <c r="B3" s="9" t="inlineStr">
        <is>
          <t>State</t>
        </is>
      </c>
      <c r="C3" s="9" t="inlineStr">
        <is>
          <t>2025</t>
        </is>
      </c>
      <c r="D3" s="9" t="inlineStr">
        <is>
          <t>2030</t>
        </is>
      </c>
      <c r="E3" s="9" t="inlineStr">
        <is>
          <t>2035</t>
        </is>
      </c>
      <c r="F3" s="9" t="inlineStr">
        <is>
          <t>2040</t>
        </is>
      </c>
      <c r="G3" s="9" t="inlineStr">
        <is>
          <t>2045</t>
        </is>
      </c>
      <c r="H3" s="9" t="inlineStr">
        <is>
          <t>2050</t>
        </is>
      </c>
    </row>
    <row r="4">
      <c r="B4" s="24" t="inlineStr">
        <is>
          <t>Conventional</t>
        </is>
      </c>
      <c r="C4" s="20" t="n">
        <v>38.22</v>
      </c>
      <c r="D4" s="20" t="n">
        <v>33.46</v>
      </c>
      <c r="E4" s="20" t="n">
        <v>29.07</v>
      </c>
      <c r="F4" s="20" t="n">
        <v>25.48</v>
      </c>
      <c r="G4" s="20" t="n">
        <v>22.19</v>
      </c>
      <c r="H4" s="20" t="n">
        <v>19.49</v>
      </c>
    </row>
    <row r="5">
      <c r="B5" s="26" t="inlineStr">
        <is>
          <t>BEV haulage</t>
        </is>
      </c>
      <c r="C5" s="22" t="n">
        <v>33.43</v>
      </c>
      <c r="D5" s="22" t="n">
        <v>28.61</v>
      </c>
      <c r="E5" s="22" t="n">
        <v>24.33</v>
      </c>
      <c r="F5" s="22" t="n">
        <v>20.99</v>
      </c>
      <c r="G5" s="22" t="n">
        <v>18.01</v>
      </c>
      <c r="H5" s="22" t="n">
        <v>15.67</v>
      </c>
    </row>
    <row r="6">
      <c r="B6" s="24" t="inlineStr">
        <is>
          <t>Hydrogen FCEV</t>
        </is>
      </c>
      <c r="C6" s="20" t="n">
        <v>33.43</v>
      </c>
      <c r="D6" s="20" t="n">
        <v>28.61</v>
      </c>
      <c r="E6" s="20" t="n">
        <v>24.33</v>
      </c>
      <c r="F6" s="20" t="n">
        <v>20.99</v>
      </c>
      <c r="G6" s="20" t="n">
        <v>18.01</v>
      </c>
      <c r="H6" s="20" t="n">
        <v>15.67</v>
      </c>
    </row>
    <row r="7">
      <c r="B7" s="26" t="inlineStr">
        <is>
          <t>Low-fugitive</t>
        </is>
      </c>
      <c r="C7" s="22" t="n">
        <v>23.73</v>
      </c>
      <c r="D7" s="22" t="n">
        <v>19.15</v>
      </c>
      <c r="E7" s="22" t="n">
        <v>15.53</v>
      </c>
      <c r="F7" s="22" t="n">
        <v>12.67</v>
      </c>
      <c r="G7" s="22" t="n">
        <v>10.57</v>
      </c>
      <c r="H7" s="22" t="n">
        <v>8.98</v>
      </c>
    </row>
    <row r="8">
      <c r="B8" s="24" t="inlineStr">
        <is>
          <t>Integrated low-carbon</t>
        </is>
      </c>
      <c r="C8" s="20" t="n">
        <v>15.37</v>
      </c>
      <c r="D8" s="20" t="n">
        <v>10.45</v>
      </c>
      <c r="E8" s="20" t="n">
        <v>7.18</v>
      </c>
      <c r="F8" s="20" t="n">
        <v>5.05</v>
      </c>
      <c r="G8" s="20" t="n">
        <v>3.7</v>
      </c>
      <c r="H8" s="20" t="n">
        <v>2.77</v>
      </c>
    </row>
  </sheetData>
  <mergeCells count="1">
    <mergeCell ref="B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hidden="1" width="13" customWidth="1" min="1" max="1"/>
    <col hidden="1" width="13" customWidth="1" min="2" max="2"/>
  </cols>
  <sheetData>
    <row r="1">
      <c r="A1" t="inlineStr">
        <is>
          <t>Year</t>
        </is>
      </c>
      <c r="B1" t="inlineStr">
        <is>
          <t>Demand (kt)</t>
        </is>
      </c>
    </row>
    <row r="2">
      <c r="A2" t="n">
        <v>2025</v>
      </c>
      <c r="B2" t="n">
        <v>420000</v>
      </c>
    </row>
    <row r="3">
      <c r="A3" t="n">
        <v>2030</v>
      </c>
      <c r="B3" t="n">
        <v>397403</v>
      </c>
    </row>
    <row r="4">
      <c r="A4" t="n">
        <v>2035</v>
      </c>
      <c r="B4" t="n">
        <v>376021</v>
      </c>
    </row>
    <row r="5">
      <c r="A5" t="n">
        <v>2040</v>
      </c>
      <c r="B5" t="n">
        <v>355797</v>
      </c>
    </row>
    <row r="6">
      <c r="A6" t="n">
        <v>2045</v>
      </c>
      <c r="B6" t="n">
        <v>336649</v>
      </c>
    </row>
    <row r="7">
      <c r="A7" t="n">
        <v>2050</v>
      </c>
      <c r="B7" t="n">
        <v>318541</v>
      </c>
    </row>
    <row r="10">
      <c r="A10" t="inlineStr">
        <is>
          <t>State</t>
        </is>
      </c>
      <c r="B10" t="inlineStr">
        <is>
          <t>2025 SEI (GJ/kt)</t>
        </is>
      </c>
    </row>
    <row r="11">
      <c r="A11" t="inlineStr">
        <is>
          <t>Conventional</t>
        </is>
      </c>
      <c r="B11" t="n">
        <v>406</v>
      </c>
    </row>
    <row r="12">
      <c r="A12" t="inlineStr">
        <is>
          <t>BEV haulage</t>
        </is>
      </c>
      <c r="B12" t="n">
        <v>292</v>
      </c>
    </row>
    <row r="13">
      <c r="A13" t="inlineStr">
        <is>
          <t>H2 FCEV</t>
        </is>
      </c>
      <c r="B13" t="n">
        <v>320</v>
      </c>
    </row>
    <row r="14">
      <c r="A14" t="inlineStr">
        <is>
          <t>Low-fugitive</t>
        </is>
      </c>
      <c r="B14" t="n">
        <v>414</v>
      </c>
    </row>
    <row r="15">
      <c r="A15" t="inlineStr">
        <is>
          <t>Integrated</t>
        </is>
      </c>
      <c r="B15" t="n">
        <v>286</v>
      </c>
    </row>
    <row r="20">
      <c r="A20" t="inlineStr">
        <is>
          <t>State</t>
        </is>
      </c>
      <c r="B20" t="inlineStr">
        <is>
          <t>Total CO2e 2025 (tCO2e/kt)</t>
        </is>
      </c>
    </row>
    <row r="21">
      <c r="A21" t="inlineStr">
        <is>
          <t>Conventional</t>
        </is>
      </c>
      <c r="B21" t="n">
        <v>91</v>
      </c>
    </row>
    <row r="22">
      <c r="A22" t="inlineStr">
        <is>
          <t>BEV haulage</t>
        </is>
      </c>
      <c r="B22" t="n">
        <v>79.59999999999999</v>
      </c>
    </row>
    <row r="23">
      <c r="A23" t="inlineStr">
        <is>
          <t>H2 FCEV</t>
        </is>
      </c>
      <c r="B23" t="n">
        <v>79.59999999999999</v>
      </c>
    </row>
    <row r="24">
      <c r="A24" t="inlineStr">
        <is>
          <t>Low-fugitive</t>
        </is>
      </c>
      <c r="B24" t="n">
        <v>56.7</v>
      </c>
    </row>
    <row r="25">
      <c r="A25" t="inlineStr">
        <is>
          <t>Integrated</t>
        </is>
      </c>
      <c r="B25" t="n">
        <v>36.6</v>
      </c>
    </row>
    <row r="30">
      <c r="A30" t="inlineStr">
        <is>
          <t>Year</t>
        </is>
      </c>
      <c r="B30" t="inlineStr">
        <is>
          <t>Energy (PJ)</t>
        </is>
      </c>
    </row>
    <row r="31">
      <c r="A31" t="n">
        <v>2025</v>
      </c>
      <c r="B31" t="n">
        <v>170.5</v>
      </c>
    </row>
    <row r="32">
      <c r="A32" t="n">
        <v>2030</v>
      </c>
      <c r="B32" t="n">
        <v>161.3</v>
      </c>
    </row>
    <row r="33">
      <c r="A33" t="n">
        <v>2035</v>
      </c>
      <c r="B33" t="n">
        <v>152.7</v>
      </c>
    </row>
    <row r="34">
      <c r="A34" t="n">
        <v>2040</v>
      </c>
      <c r="B34" t="n">
        <v>144.5</v>
      </c>
    </row>
    <row r="35">
      <c r="A35" t="n">
        <v>2045</v>
      </c>
      <c r="B35" t="n">
        <v>136.7</v>
      </c>
    </row>
    <row r="36">
      <c r="A36" t="n">
        <v>2050</v>
      </c>
      <c r="B36" t="n">
        <v>129.3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2026-05-01T01:08:13Z</dcterms:created>
  <dcterms:modified xmlns:dcterms="http://purl.org/dc/terms/" xmlns:xsi="http://www.w3.org/2001/XMLSchema-instance" xsi:type="dcterms:W3CDTF">2026-05-01T01:08:13Z</dcterms:modified>
</cp:coreProperties>
</file>